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vidushimathur/Downloads/"/>
    </mc:Choice>
  </mc:AlternateContent>
  <xr:revisionPtr revIDLastSave="0" documentId="13_ncr:1_{C9E7A5AB-29B2-E140-9B7E-6D60EBA38B66}" xr6:coauthVersionLast="47" xr6:coauthVersionMax="47" xr10:uidLastSave="{00000000-0000-0000-0000-000000000000}"/>
  <bookViews>
    <workbookView xWindow="0" yWindow="760" windowWidth="29400" windowHeight="16900" firstSheet="1" activeTab="1" xr2:uid="{00000000-000D-0000-FFFF-FFFF00000000}"/>
  </bookViews>
  <sheets>
    <sheet name="Profit &amp; Loss" sheetId="1" r:id="rId1"/>
    <sheet name="KPIs" sheetId="7" r:id="rId2"/>
    <sheet name="Dashboard" sheetId="9" r:id="rId3"/>
    <sheet name="DCF" sheetId="8" r:id="rId4"/>
    <sheet name="Quarters" sheetId="3" r:id="rId5"/>
    <sheet name="Balance Sheet" sheetId="2" r:id="rId6"/>
    <sheet name="Cash Flow" sheetId="4" r:id="rId7"/>
    <sheet name="Customization" sheetId="5" r:id="rId8"/>
    <sheet name="Data Sheet" sheetId="6" r:id="rId9"/>
  </sheets>
  <definedNames>
    <definedName name="Slicer_Year1">#N/A</definedName>
    <definedName name="UPDATE">'Data Sheet'!$E$1</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4" i="7" l="1"/>
  <c r="O5" i="7"/>
  <c r="O6" i="7"/>
  <c r="O7" i="7"/>
  <c r="O8" i="7"/>
  <c r="O9" i="7"/>
  <c r="O10" i="7"/>
  <c r="O11" i="7"/>
  <c r="O12" i="7"/>
  <c r="O13" i="7"/>
  <c r="N5" i="7"/>
  <c r="N6" i="7"/>
  <c r="N7" i="7"/>
  <c r="N8" i="7"/>
  <c r="N9" i="7"/>
  <c r="N10" i="7"/>
  <c r="N11" i="7"/>
  <c r="N12" i="7"/>
  <c r="N13" i="7"/>
  <c r="N4" i="7"/>
  <c r="G16" i="8"/>
  <c r="B20" i="8"/>
  <c r="B21" i="8" s="1"/>
  <c r="F17" i="8"/>
  <c r="F16" i="8"/>
  <c r="F11" i="8"/>
  <c r="F12" i="8"/>
  <c r="F13" i="8"/>
  <c r="F14" i="8"/>
  <c r="F15" i="8"/>
  <c r="F10" i="8"/>
  <c r="E15" i="8"/>
  <c r="E14" i="8"/>
  <c r="E13" i="8"/>
  <c r="E12" i="8"/>
  <c r="E11" i="8"/>
  <c r="E10" i="8"/>
  <c r="D11" i="8"/>
  <c r="D12" i="8"/>
  <c r="D13" i="8"/>
  <c r="D14" i="8"/>
  <c r="D15" i="8"/>
  <c r="D10" i="8"/>
  <c r="C12" i="8"/>
  <c r="C15" i="8"/>
  <c r="C14" i="8"/>
  <c r="C13" i="8"/>
  <c r="C11" i="8"/>
  <c r="C10" i="8"/>
  <c r="B15" i="8"/>
  <c r="B14" i="8"/>
  <c r="B13" i="8"/>
  <c r="B12" i="8"/>
  <c r="B11" i="8"/>
  <c r="B10" i="8"/>
  <c r="M5" i="7"/>
  <c r="M6" i="7"/>
  <c r="M7" i="7"/>
  <c r="M8" i="7"/>
  <c r="M9" i="7"/>
  <c r="M10" i="7"/>
  <c r="M11" i="7"/>
  <c r="M12" i="7"/>
  <c r="M13" i="7"/>
  <c r="M4" i="7"/>
  <c r="L5" i="7"/>
  <c r="L6" i="7"/>
  <c r="L7" i="7"/>
  <c r="L8" i="7"/>
  <c r="L9" i="7"/>
  <c r="L10" i="7"/>
  <c r="L11" i="7"/>
  <c r="L12" i="7"/>
  <c r="L13" i="7"/>
  <c r="L4" i="7"/>
  <c r="K5" i="7"/>
  <c r="K6" i="7"/>
  <c r="K7" i="7"/>
  <c r="K8" i="7"/>
  <c r="K9" i="7"/>
  <c r="K10" i="7"/>
  <c r="K11" i="7"/>
  <c r="K12" i="7"/>
  <c r="K13" i="7"/>
  <c r="K4" i="7"/>
  <c r="J5" i="7"/>
  <c r="J6" i="7"/>
  <c r="J7" i="7"/>
  <c r="J8" i="7"/>
  <c r="J9" i="7"/>
  <c r="J10" i="7"/>
  <c r="J11" i="7"/>
  <c r="J12" i="7"/>
  <c r="J13" i="7"/>
  <c r="J4" i="7"/>
  <c r="H5" i="7"/>
  <c r="H6" i="7"/>
  <c r="H7" i="7"/>
  <c r="H8" i="7"/>
  <c r="H9" i="7"/>
  <c r="H10" i="7"/>
  <c r="H11" i="7"/>
  <c r="H12" i="7"/>
  <c r="H13" i="7"/>
  <c r="H4" i="7"/>
  <c r="G13" i="7"/>
  <c r="G12" i="7"/>
  <c r="G11" i="7"/>
  <c r="G10" i="7"/>
  <c r="G9" i="7"/>
  <c r="G8" i="7"/>
  <c r="G7" i="7"/>
  <c r="G6" i="7"/>
  <c r="G5" i="7"/>
  <c r="G4" i="7"/>
  <c r="F13" i="7"/>
  <c r="F12" i="7"/>
  <c r="F11" i="7"/>
  <c r="F10" i="7"/>
  <c r="F9" i="7"/>
  <c r="F8" i="7"/>
  <c r="F7" i="7"/>
  <c r="F6" i="7"/>
  <c r="F4" i="7"/>
  <c r="B4" i="2"/>
  <c r="F5" i="7"/>
  <c r="E5" i="7"/>
  <c r="E6" i="7"/>
  <c r="E7" i="7"/>
  <c r="E8" i="7"/>
  <c r="E9" i="7"/>
  <c r="E10" i="7"/>
  <c r="E11" i="7"/>
  <c r="E12" i="7"/>
  <c r="E13" i="7"/>
  <c r="E4" i="7"/>
  <c r="C13" i="7"/>
  <c r="C12" i="7"/>
  <c r="C11" i="7"/>
  <c r="C10" i="7"/>
  <c r="C9" i="7"/>
  <c r="C8" i="7"/>
  <c r="C7" i="7"/>
  <c r="C6" i="7"/>
  <c r="C5" i="7"/>
  <c r="C4" i="7"/>
  <c r="B13" i="7"/>
  <c r="B12" i="7"/>
  <c r="B11" i="7"/>
  <c r="B9" i="7"/>
  <c r="B10" i="7"/>
  <c r="B8" i="7"/>
  <c r="B7" i="7"/>
  <c r="B6" i="7"/>
  <c r="B5" i="7"/>
  <c r="B4" i="7"/>
  <c r="A13" i="7"/>
  <c r="A12" i="7"/>
  <c r="A11" i="7"/>
  <c r="A10" i="7"/>
  <c r="A9" i="7"/>
  <c r="A8" i="7"/>
  <c r="A7" i="7"/>
  <c r="A6" i="7"/>
  <c r="A5" i="7"/>
  <c r="A4" i="7"/>
  <c r="C6" i="3"/>
  <c r="D6" i="3"/>
  <c r="E6" i="3"/>
  <c r="F6" i="3"/>
  <c r="G6" i="3"/>
  <c r="H6" i="3"/>
  <c r="I6" i="3"/>
  <c r="J6" i="3"/>
  <c r="K6" i="3"/>
  <c r="B6" i="3"/>
  <c r="C5" i="1"/>
  <c r="D5" i="1"/>
  <c r="E5" i="1"/>
  <c r="F5" i="1"/>
  <c r="G5" i="1"/>
  <c r="H5" i="1"/>
  <c r="I5" i="1"/>
  <c r="J5" i="1"/>
  <c r="K5" i="1"/>
  <c r="B5" i="1"/>
  <c r="F13" i="1"/>
  <c r="F14" i="1" s="1"/>
  <c r="G13" i="1"/>
  <c r="G14" i="1" s="1"/>
  <c r="J13" i="1"/>
  <c r="B6" i="6"/>
  <c r="C17" i="2"/>
  <c r="D17" i="2"/>
  <c r="E17" i="2"/>
  <c r="F17" i="2"/>
  <c r="G17" i="2"/>
  <c r="H17" i="2"/>
  <c r="I17" i="2"/>
  <c r="J17" i="2"/>
  <c r="K17" i="2"/>
  <c r="C18" i="2"/>
  <c r="D18" i="2"/>
  <c r="E18" i="2"/>
  <c r="F18" i="2"/>
  <c r="G18" i="2"/>
  <c r="H18" i="2"/>
  <c r="I18" i="2"/>
  <c r="J18" i="2"/>
  <c r="K18" i="2"/>
  <c r="B17" i="2"/>
  <c r="C4" i="2"/>
  <c r="D4" i="2"/>
  <c r="E4" i="2"/>
  <c r="E5" i="2"/>
  <c r="E23" i="2"/>
  <c r="F4" i="2"/>
  <c r="F23" i="2" s="1"/>
  <c r="G4" i="2"/>
  <c r="H4" i="2"/>
  <c r="H23" i="2" s="1"/>
  <c r="I4" i="2"/>
  <c r="I23" i="2" s="1"/>
  <c r="I5" i="2"/>
  <c r="J4" i="2"/>
  <c r="J5" i="2"/>
  <c r="K4" i="2"/>
  <c r="C5" i="2"/>
  <c r="D5" i="2"/>
  <c r="D23" i="2" s="1"/>
  <c r="F5" i="2"/>
  <c r="G5" i="2"/>
  <c r="H5" i="2"/>
  <c r="K5" i="2"/>
  <c r="C6" i="2"/>
  <c r="D6" i="2"/>
  <c r="E6" i="2"/>
  <c r="F6" i="2"/>
  <c r="G6" i="2"/>
  <c r="H6" i="2"/>
  <c r="I6" i="2"/>
  <c r="J6" i="2"/>
  <c r="K6" i="2"/>
  <c r="C7" i="2"/>
  <c r="D7" i="2"/>
  <c r="E7" i="2"/>
  <c r="F7" i="2"/>
  <c r="G7" i="2"/>
  <c r="H7" i="2"/>
  <c r="I7" i="2"/>
  <c r="J7" i="2"/>
  <c r="K7" i="2"/>
  <c r="K16" i="2" s="1"/>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D16" i="2" s="1"/>
  <c r="E13" i="2"/>
  <c r="E16" i="2" s="1"/>
  <c r="F13" i="2"/>
  <c r="G13" i="2"/>
  <c r="H13" i="2"/>
  <c r="I13" i="2"/>
  <c r="J13" i="2"/>
  <c r="K13" i="2"/>
  <c r="C14" i="2"/>
  <c r="D14" i="2"/>
  <c r="E14" i="2"/>
  <c r="F14" i="2"/>
  <c r="G14" i="2"/>
  <c r="H14" i="2"/>
  <c r="I14" i="2"/>
  <c r="J14" i="2"/>
  <c r="K14" i="2"/>
  <c r="B14" i="2"/>
  <c r="B5" i="2"/>
  <c r="C2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L4" i="1" s="1"/>
  <c r="L23" i="1" s="1"/>
  <c r="I4" i="3"/>
  <c r="J4" i="3"/>
  <c r="J14" i="3" s="1"/>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D20" i="2" s="1"/>
  <c r="E4" i="1"/>
  <c r="E6" i="1" s="1"/>
  <c r="E19" i="1" s="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G12" i="1"/>
  <c r="H12" i="1"/>
  <c r="I12" i="1"/>
  <c r="I13" i="1" s="1"/>
  <c r="J12" i="1"/>
  <c r="K12" i="1"/>
  <c r="K23" i="2" s="1"/>
  <c r="C15" i="1"/>
  <c r="C14" i="1" s="1"/>
  <c r="D15" i="1"/>
  <c r="E15" i="1"/>
  <c r="F15" i="1"/>
  <c r="G15" i="1"/>
  <c r="H15" i="1"/>
  <c r="H14" i="1" s="1"/>
  <c r="I15" i="1"/>
  <c r="J15" i="1"/>
  <c r="J14" i="1" s="1"/>
  <c r="K15" i="1"/>
  <c r="B15" i="1"/>
  <c r="H13" i="1"/>
  <c r="B7" i="1"/>
  <c r="B4" i="1"/>
  <c r="B20" i="2" s="1"/>
  <c r="A1" i="1"/>
  <c r="A1" i="2" s="1"/>
  <c r="A1" i="4" s="1"/>
  <c r="E1" i="6"/>
  <c r="H1" i="1" s="1"/>
  <c r="H16" i="2"/>
  <c r="C16" i="2"/>
  <c r="G23" i="2"/>
  <c r="F16" i="2"/>
  <c r="I6" i="1"/>
  <c r="I19" i="1" s="1"/>
  <c r="J6" i="1"/>
  <c r="J19" i="1"/>
  <c r="K6" i="1"/>
  <c r="K19" i="1" s="1"/>
  <c r="G6" i="1"/>
  <c r="G19" i="1" s="1"/>
  <c r="C6" i="1"/>
  <c r="C19" i="1" s="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6" i="2" s="1"/>
  <c r="B12" i="2"/>
  <c r="B11" i="2"/>
  <c r="B10" i="2"/>
  <c r="B8" i="2"/>
  <c r="B7" i="2"/>
  <c r="B6" i="2"/>
  <c r="B3" i="2"/>
  <c r="H14" i="3"/>
  <c r="F14" i="3"/>
  <c r="B12" i="3"/>
  <c r="B11" i="3"/>
  <c r="B10" i="3"/>
  <c r="B9" i="3"/>
  <c r="B8" i="3"/>
  <c r="B7" i="3"/>
  <c r="B4" i="3"/>
  <c r="B14" i="3" s="1"/>
  <c r="B3" i="3"/>
  <c r="L15" i="1"/>
  <c r="B12" i="1"/>
  <c r="B13" i="1" s="1"/>
  <c r="B11" i="1"/>
  <c r="B10" i="1"/>
  <c r="B9" i="1"/>
  <c r="B8" i="1"/>
  <c r="B3" i="1"/>
  <c r="E14" i="3"/>
  <c r="I14" i="3"/>
  <c r="G14" i="3"/>
  <c r="G20" i="2"/>
  <c r="K20" i="2"/>
  <c r="J20" i="2"/>
  <c r="C20" i="2"/>
  <c r="E20" i="2"/>
  <c r="L12" i="1"/>
  <c r="L13" i="1" s="1"/>
  <c r="L14" i="1" s="1"/>
  <c r="L25" i="1" s="1"/>
  <c r="L11" i="1"/>
  <c r="L10" i="1"/>
  <c r="L6" i="1"/>
  <c r="H23" i="1"/>
  <c r="I23" i="1"/>
  <c r="J23" i="1"/>
  <c r="L5" i="1"/>
  <c r="V20" i="9"/>
  <c r="L44" i="7"/>
  <c r="I44" i="7"/>
  <c r="F44" i="7"/>
  <c r="C44" i="7"/>
  <c r="N11" i="1" l="1"/>
  <c r="C23" i="2"/>
  <c r="K13" i="1"/>
  <c r="K14" i="1" s="1"/>
  <c r="G16" i="2"/>
  <c r="D13" i="1"/>
  <c r="E13" i="1" s="1"/>
  <c r="E14" i="1" s="1"/>
  <c r="L8" i="1"/>
  <c r="A1" i="3"/>
  <c r="D6" i="1"/>
  <c r="D19" i="1" s="1"/>
  <c r="H24" i="1" s="1"/>
  <c r="L9" i="1"/>
  <c r="J23" i="2"/>
  <c r="F24" i="2"/>
  <c r="I14" i="1"/>
  <c r="K25" i="1" s="1"/>
  <c r="M25" i="1" s="1"/>
  <c r="M14" i="1" s="1"/>
  <c r="L7" i="1"/>
  <c r="H24" i="2"/>
  <c r="M11" i="1"/>
  <c r="L19" i="1"/>
  <c r="L24" i="1" s="1"/>
  <c r="M24" i="1" s="1"/>
  <c r="B14" i="1"/>
  <c r="J16" i="2"/>
  <c r="K24" i="2"/>
  <c r="E24" i="2"/>
  <c r="K24" i="1"/>
  <c r="D24" i="2"/>
  <c r="B23" i="2"/>
  <c r="E1" i="3"/>
  <c r="D14" i="1"/>
  <c r="E1" i="2"/>
  <c r="J24" i="2"/>
  <c r="I24" i="2"/>
  <c r="I16" i="2"/>
  <c r="G24" i="2"/>
  <c r="J25" i="1"/>
  <c r="M9" i="1"/>
  <c r="N9" i="1"/>
  <c r="N8" i="1"/>
  <c r="M8" i="1"/>
  <c r="I20" i="2"/>
  <c r="H20" i="2"/>
  <c r="K23" i="1"/>
  <c r="M23" i="1" s="1"/>
  <c r="M4" i="1" s="1"/>
  <c r="H6" i="1"/>
  <c r="H19" i="1" s="1"/>
  <c r="J24" i="1" s="1"/>
  <c r="F6" i="1"/>
  <c r="F19" i="1" s="1"/>
  <c r="I24" i="1" s="1"/>
  <c r="E1" i="4"/>
  <c r="N24" i="1" l="1"/>
  <c r="H25" i="1"/>
  <c r="I25" i="1"/>
  <c r="N23" i="1"/>
  <c r="N4" i="1" s="1"/>
  <c r="N6" i="1"/>
  <c r="N10" i="1" s="1"/>
  <c r="N12" i="1" s="1"/>
  <c r="N13" i="1" s="1"/>
  <c r="N5" i="1"/>
  <c r="M6" i="1"/>
  <c r="M10" i="1" s="1"/>
  <c r="M12" i="1" s="1"/>
  <c r="M13" i="1" s="1"/>
  <c r="M15" i="1" s="1"/>
  <c r="N25" i="1" l="1"/>
  <c r="N14" i="1" s="1"/>
  <c r="N15" i="1" s="1"/>
  <c r="M5" i="1"/>
</calcChain>
</file>

<file path=xl/sharedStrings.xml><?xml version="1.0" encoding="utf-8"?>
<sst xmlns="http://schemas.openxmlformats.org/spreadsheetml/2006/main" count="234" uniqueCount="139">
  <si>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</si>
  <si>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</si>
  <si>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</si>
  <si>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</si>
  <si>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</si>
  <si>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</si>
  <si>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</si>
  <si>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</si>
  <si>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</si>
  <si>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</si>
  <si>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</si>
  <si>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</si>
  <si>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</si>
  <si>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</si>
  <si>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</si>
  <si>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</si>
  <si>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</si>
  <si>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</si>
  <si>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</si>
  <si>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</si>
  <si>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</si>
  <si>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</si>
  <si>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</si>
  <si>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</si>
  <si>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</si>
  <si>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</si>
  <si>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</si>
  <si>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</si>
  <si>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</si>
  <si>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</si>
  <si>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</si>
  <si>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</si>
  <si>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</si>
  <si>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</si>
  <si>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</si>
  <si>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</si>
  <si>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</si>
  <si>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</si>
  <si>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</si>
  <si>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</si>
  <si>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</si>
  <si>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</si>
  <si>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</si>
  <si>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</si>
  <si>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</si>
  <si>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</si>
  <si>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</si>
  <si>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</si>
  <si>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</si>
  <si>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</si>
  <si>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</si>
  <si>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</si>
  <si>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</si>
  <si>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</si>
  <si>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</si>
  <si>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</si>
  <si>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</si>
  <si>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</si>
  <si>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</si>
  <si>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</si>
  <si>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</si>
  <si>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</si>
  <si>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</si>
  <si>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HDFC BANK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</si>
  <si>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</si>
  <si>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</si>
  <si>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</si>
  <si>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</si>
  <si>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</si>
  <si>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</si>
  <si>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</si>
  <si>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</si>
  <si>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</si>
  <si>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</si>
  <si>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</si>
  <si>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</si>
  <si>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</si>
  <si>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</si>
  <si>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</si>
  <si>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</si>
  <si>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</si>
  <si>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</si>
  <si>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</si>
  <si>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</si>
  <si>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</si>
  <si>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</si>
  <si>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</si>
  <si>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</si>
  <si>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</si>
  <si>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</si>
  <si>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</si>
  <si>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</si>
  <si>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</si>
  <si>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Revenue and Profit</t>
  </si>
  <si>
    <t>Year</t>
  </si>
  <si>
    <t>Revenue</t>
  </si>
  <si>
    <t>Profit</t>
  </si>
  <si>
    <t>Balance Sheet</t>
  </si>
  <si>
    <t>Equity</t>
  </si>
  <si>
    <t>Liability</t>
  </si>
  <si>
    <t>Asset</t>
  </si>
  <si>
    <t>Master Table</t>
  </si>
  <si>
    <t>Net profit margin</t>
  </si>
  <si>
    <t>ROE</t>
  </si>
  <si>
    <t>Debt/equity</t>
  </si>
  <si>
    <t>Row Labels</t>
  </si>
  <si>
    <t>Grand Total</t>
  </si>
  <si>
    <t>2016</t>
  </si>
  <si>
    <t>2017</t>
  </si>
  <si>
    <t>2018</t>
  </si>
  <si>
    <t>2019</t>
  </si>
  <si>
    <t>2020</t>
  </si>
  <si>
    <t>2021</t>
  </si>
  <si>
    <t>2022</t>
  </si>
  <si>
    <t>2023</t>
  </si>
  <si>
    <t>2024</t>
  </si>
  <si>
    <t>2025</t>
  </si>
  <si>
    <t>Sum of Revenue</t>
  </si>
  <si>
    <t>Sum of ROE</t>
  </si>
  <si>
    <t>Sum of Net profit margin</t>
  </si>
  <si>
    <t>Sum of Profit</t>
  </si>
  <si>
    <t>Assumptions</t>
  </si>
  <si>
    <t>Metrics</t>
  </si>
  <si>
    <t>Value</t>
  </si>
  <si>
    <t>Revenue Growth Rate</t>
  </si>
  <si>
    <t>Discounting Rate</t>
  </si>
  <si>
    <t>Forecasting Year</t>
  </si>
  <si>
    <t>Forecast</t>
  </si>
  <si>
    <t>Net Profit</t>
  </si>
  <si>
    <t>Cash Flows</t>
  </si>
  <si>
    <t>Discounted factor</t>
  </si>
  <si>
    <t>PV of Cash Flows</t>
  </si>
  <si>
    <t>No. of shares</t>
  </si>
  <si>
    <t>Intrinsic Value</t>
  </si>
  <si>
    <t>Upside/ Downside</t>
  </si>
  <si>
    <t>Recommendations:</t>
  </si>
  <si>
    <t>Buy</t>
  </si>
  <si>
    <t>: Financials are strong and growing.</t>
  </si>
  <si>
    <t>:Stock is undervalued as per the DCF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</si>
</sst>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409]mmm\-yy;@"/>
  </numFmts>
  <fonts count="10"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s>
  <fills count="8">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7" tint="0.39997558519241921"/>
        <bgColor indexed="64"/>
      </patternFill>
    </fill>
    <fill>
      <patternFill patternType="solid">
        <fgColor theme="7" tint="0.59999389629810485"/>
        <bgColor indexed="64"/>
      </patternFill>
    </fill>
  </fills>
  <borders count="1">
    <border>
      <left/>
      <right/>
      <top/>
      <bottom/>
      <diagonal/>
    </border>
  </borders>
  <cellStyleXfs count="7">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38">
    <xf numFmtId="0" fontId="0" fillId="0" borderId="0" xfId="0"/>
    <xf numFmtId="164" fontId="1" fillId="0" borderId="0" xfId="1" applyFont="1" applyBorder="1"/>
    <xf numFmtId="0" fontId="1" fillId="0" borderId="0" xfId="0" applyFont="1"/>
    <xf numFmtId="0" fontId="8"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9" fillId="0" borderId="0" xfId="1" applyNumberFormat="1" applyFont="1" applyFill="1" applyBorder="1"/>
    <xf numFmtId="0" fontId="7" fillId="0" borderId="0" xfId="0" applyFont="1"/>
    <xf numFmtId="0" fontId="0" fillId="0" borderId="0" xfId="0"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9" fillId="0" borderId="0" xfId="0" applyFont="1"/>
    <xf numFmtId="43" fontId="0" fillId="0" borderId="0" xfId="1" applyNumberFormat="1" applyFont="1" applyBorder="1"/>
    <xf numFmtId="164" fontId="0" fillId="0" borderId="0" xfId="0" applyNumberFormat="1"/>
    <xf numFmtId="0" fontId="0" fillId="0" borderId="0" xfId="0" pivotButton="1"/>
    <xf numFmtId="9" fontId="0" fillId="0" borderId="0" xfId="0" applyNumberFormat="1"/>
    <xf numFmtId="0" fontId="0" fillId="6" borderId="0" xfId="0" applyFill="1"/>
    <xf numFmtId="0" fontId="0" fillId="7" borderId="0" xfId="0" applyFill="1"/>
    <xf numFmtId="9" fontId="0" fillId="7" borderId="0" xfId="0" applyNumberFormat="1" applyFill="1"/>
    <xf numFmtId="0" fontId="1" fillId="6" borderId="0" xfId="0" applyFont="1" applyFill="1"/>
    <xf numFmtId="17" fontId="0" fillId="7" borderId="0" xfId="0" applyNumberFormat="1" applyFill="1"/>
    <xf numFmtId="164" fontId="0" fillId="7" borderId="0" xfId="0" applyNumberFormat="1" applyFill="1"/>
    <xf numFmtId="9" fontId="0" fillId="7" borderId="0" xfId="6" applyFont="1" applyFill="1"/>
    <xf numFmtId="164" fontId="4" fillId="0" borderId="0" xfId="2" applyNumberFormat="1" applyBorder="1" applyAlignment="1" applyProtection="1">
      <alignment horizontal="center"/>
    </xf>
    <xf numFmtId="164" fontId="2" fillId="4" borderId="0" xfId="5" applyNumberFormat="1" applyFont="1" applyBorder="1" applyAlignment="1">
      <alignment horizontal="center"/>
    </xf>
    <xf numFmtId="0"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Growth</a:t>
            </a:r>
            <a:endParaRPr lang="en-GB"/>
          </a:p>
        </c:rich>
      </c:tx>
      <c:layout>
        <c:manualLayout>
          <c:xMode val="edge"/>
          <c:yMode val="edge"/>
          <c:x val="3.7305555555555578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KPIs!$B$32:$B$42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KPIs!$C$32:$C$42</c:f>
              <c:numCache>
                <c:formatCode>_ * #,##0.00_ ;_ * \-#,##0.00_ ;_ * "-"??_ ;_ @_ </c:formatCode>
                <c:ptCount val="10"/>
                <c:pt idx="0">
                  <c:v>63161.56</c:v>
                </c:pt>
                <c:pt idx="1">
                  <c:v>73271.350000000006</c:v>
                </c:pt>
                <c:pt idx="2">
                  <c:v>85287.84</c:v>
                </c:pt>
                <c:pt idx="3">
                  <c:v>105160.74</c:v>
                </c:pt>
                <c:pt idx="4">
                  <c:v>122189.29</c:v>
                </c:pt>
                <c:pt idx="5">
                  <c:v>128552.4</c:v>
                </c:pt>
                <c:pt idx="6">
                  <c:v>135936.41</c:v>
                </c:pt>
                <c:pt idx="7">
                  <c:v>170754.05</c:v>
                </c:pt>
                <c:pt idx="8">
                  <c:v>283649.02</c:v>
                </c:pt>
                <c:pt idx="9">
                  <c:v>336367.43</c:v>
                </c:pt>
              </c:numCache>
            </c:numRef>
          </c:val>
          <c:smooth val="0"/>
          <c:extLst>
            <c:ext xmlns:c16="http://schemas.microsoft.com/office/drawing/2014/chart" uri="{C3380CC4-5D6E-409C-BE32-E72D297353CC}">
              <c16:uniqueId val="{00000000-19CD-7B45-9E63-79F2D693D7AD}"/>
            </c:ext>
          </c:extLst>
        </c:ser>
        <c:dLbls>
          <c:dLblPos val="t"/>
          <c:showLegendKey val="0"/>
          <c:showVal val="1"/>
          <c:showCatName val="0"/>
          <c:showSerName val="0"/>
          <c:showPercent val="0"/>
          <c:showBubbleSize val="0"/>
        </c:dLbls>
        <c:marker val="1"/>
        <c:smooth val="0"/>
        <c:axId val="1224231023"/>
        <c:axId val="911453743"/>
      </c:lineChart>
      <c:catAx>
        <c:axId val="122423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453743"/>
        <c:crosses val="autoZero"/>
        <c:auto val="1"/>
        <c:lblAlgn val="ctr"/>
        <c:lblOffset val="100"/>
        <c:noMultiLvlLbl val="0"/>
      </c:catAx>
      <c:valAx>
        <c:axId val="911453743"/>
        <c:scaling>
          <c:orientation val="minMax"/>
        </c:scaling>
        <c:delete val="0"/>
        <c:axPos val="l"/>
        <c:numFmt formatCode="&quot;₹&quot;0.0,,\c\r"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31023"/>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Profir</a:t>
            </a:r>
            <a:r>
              <a:rPr lang="en-GB" baseline="0"/>
              <a:t> Growth</a:t>
            </a:r>
            <a:endParaRPr lang="en-GB"/>
          </a:p>
        </c:rich>
      </c:tx>
      <c:layout>
        <c:manualLayout>
          <c:xMode val="edge"/>
          <c:yMode val="edge"/>
          <c:x val="2.2645669291338617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KPIs!$F$31</c:f>
              <c:strCache>
                <c:ptCount val="1"/>
                <c:pt idx="0">
                  <c:v>Total</c:v>
                </c:pt>
              </c:strCache>
            </c:strRef>
          </c:tx>
          <c:spPr>
            <a:solidFill>
              <a:schemeClr val="accent1"/>
            </a:solidFill>
            <a:ln>
              <a:noFill/>
            </a:ln>
            <a:effectLst/>
          </c:spPr>
          <c:invertIfNegative val="0"/>
          <c:dLbls>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KPIs!$E$32:$E$42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KPIs!$F$32:$F$42</c:f>
              <c:numCache>
                <c:formatCode>General</c:formatCode>
                <c:ptCount val="10"/>
                <c:pt idx="0">
                  <c:v>12801.33</c:v>
                </c:pt>
                <c:pt idx="1">
                  <c:v>15280.48</c:v>
                </c:pt>
                <c:pt idx="2">
                  <c:v>18510.02</c:v>
                </c:pt>
                <c:pt idx="3">
                  <c:v>22332.43</c:v>
                </c:pt>
                <c:pt idx="4">
                  <c:v>27253.95</c:v>
                </c:pt>
                <c:pt idx="5">
                  <c:v>31833.21</c:v>
                </c:pt>
                <c:pt idx="6">
                  <c:v>38052.75</c:v>
                </c:pt>
                <c:pt idx="7">
                  <c:v>45997.11</c:v>
                </c:pt>
                <c:pt idx="8">
                  <c:v>64062.04</c:v>
                </c:pt>
                <c:pt idx="9">
                  <c:v>70792.25</c:v>
                </c:pt>
              </c:numCache>
            </c:numRef>
          </c:val>
          <c:extLst>
            <c:ext xmlns:c16="http://schemas.microsoft.com/office/drawing/2014/chart" uri="{C3380CC4-5D6E-409C-BE32-E72D297353CC}">
              <c16:uniqueId val="{00000000-A2CC-4946-9EA5-623F93AA9ACD}"/>
            </c:ext>
          </c:extLst>
        </c:ser>
        <c:dLbls>
          <c:showLegendKey val="0"/>
          <c:showVal val="1"/>
          <c:showCatName val="0"/>
          <c:showSerName val="0"/>
          <c:showPercent val="0"/>
          <c:showBubbleSize val="0"/>
        </c:dLbls>
        <c:gapWidth val="219"/>
        <c:overlap val="-27"/>
        <c:axId val="1799723615"/>
        <c:axId val="1003577967"/>
      </c:barChart>
      <c:catAx>
        <c:axId val="17997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7967"/>
        <c:crosses val="autoZero"/>
        <c:auto val="1"/>
        <c:lblAlgn val="ctr"/>
        <c:lblOffset val="100"/>
        <c:noMultiLvlLbl val="0"/>
      </c:catAx>
      <c:valAx>
        <c:axId val="100357796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23615"/>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a:t>
            </a:r>
          </a:p>
        </c:rich>
      </c:tx>
      <c:layout>
        <c:manualLayout>
          <c:xMode val="edge"/>
          <c:yMode val="edge"/>
          <c:x val="2.8374890638670141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KPIs!$I$31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KPIs!$H$32:$H$42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KPIs!$I$32:$I$42</c:f>
              <c:numCache>
                <c:formatCode>0%</c:formatCode>
                <c:ptCount val="10"/>
                <c:pt idx="0">
                  <c:v>0.17228288656364052</c:v>
                </c:pt>
                <c:pt idx="1">
                  <c:v>0.16646500123374144</c:v>
                </c:pt>
                <c:pt idx="2">
                  <c:v>0.16888838442421941</c:v>
                </c:pt>
                <c:pt idx="3">
                  <c:v>0.14532467909386093</c:v>
                </c:pt>
                <c:pt idx="4">
                  <c:v>0.15453702286663359</c:v>
                </c:pt>
                <c:pt idx="5">
                  <c:v>0.15172385820363912</c:v>
                </c:pt>
                <c:pt idx="6">
                  <c:v>0.15385654498268422</c:v>
                </c:pt>
                <c:pt idx="7">
                  <c:v>0.1589189721442453</c:v>
                </c:pt>
                <c:pt idx="8">
                  <c:v>0.1403652645377006</c:v>
                </c:pt>
                <c:pt idx="9">
                  <c:v>0.13567207642915086</c:v>
                </c:pt>
              </c:numCache>
            </c:numRef>
          </c:val>
          <c:smooth val="0"/>
          <c:extLst>
            <c:ext xmlns:c16="http://schemas.microsoft.com/office/drawing/2014/chart" uri="{C3380CC4-5D6E-409C-BE32-E72D297353CC}">
              <c16:uniqueId val="{00000000-5E1C-B94D-A74C-FC65D1A4D78E}"/>
            </c:ext>
          </c:extLst>
        </c:ser>
        <c:dLbls>
          <c:dLblPos val="t"/>
          <c:showLegendKey val="0"/>
          <c:showVal val="1"/>
          <c:showCatName val="0"/>
          <c:showSerName val="0"/>
          <c:showPercent val="0"/>
          <c:showBubbleSize val="0"/>
        </c:dLbls>
        <c:marker val="1"/>
        <c:smooth val="0"/>
        <c:axId val="911798687"/>
        <c:axId val="1596783823"/>
      </c:lineChart>
      <c:catAx>
        <c:axId val="9117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83823"/>
        <c:crosses val="autoZero"/>
        <c:auto val="1"/>
        <c:lblAlgn val="ctr"/>
        <c:lblOffset val="100"/>
        <c:noMultiLvlLbl val="0"/>
      </c:catAx>
      <c:valAx>
        <c:axId val="1596783823"/>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98687"/>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Bank-3.xlsx]KPIs!PivotTable8</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Profit</a:t>
            </a:r>
            <a:r>
              <a:rPr lang="en-US" baseline="0"/>
              <a:t> Margin</a:t>
            </a:r>
            <a:endParaRPr lang="en-US"/>
          </a:p>
        </c:rich>
      </c:tx>
      <c:layout>
        <c:manualLayout>
          <c:xMode val="edge"/>
          <c:yMode val="edge"/>
          <c:x val="1.7034558180227481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tint val="55000"/>
            </a:schemeClr>
          </a:soli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KPIs!$L$31</c:f>
              <c:strCache>
                <c:ptCount val="1"/>
                <c:pt idx="0">
                  <c:v>Total</c:v>
                </c:pt>
              </c:strCache>
            </c:strRef>
          </c:tx>
          <c:dPt>
            <c:idx val="0"/>
            <c:bubble3D val="0"/>
            <c:spPr>
              <a:solidFill>
                <a:schemeClr val="accent1">
                  <a:tint val="55000"/>
                </a:schemeClr>
              </a:solidFill>
              <a:ln w="9525" cap="flat" cmpd="sng" algn="ctr">
                <a:solidFill>
                  <a:schemeClr val="accent1">
                    <a:shade val="95000"/>
                  </a:schemeClr>
                </a:solidFill>
                <a:round/>
              </a:ln>
              <a:effectLst/>
            </c:spPr>
          </c:dPt>
          <c:dPt>
            <c:idx val="1"/>
            <c:bubble3D val="0"/>
            <c:spPr>
              <a:solidFill>
                <a:schemeClr val="accent2">
                  <a:tint val="55000"/>
                </a:schemeClr>
              </a:solidFill>
              <a:ln w="9525" cap="flat" cmpd="sng" algn="ctr">
                <a:solidFill>
                  <a:schemeClr val="accent2">
                    <a:shade val="95000"/>
                  </a:schemeClr>
                </a:solidFill>
                <a:round/>
              </a:ln>
              <a:effectLst/>
            </c:spPr>
          </c:dPt>
          <c:dPt>
            <c:idx val="2"/>
            <c:bubble3D val="0"/>
            <c:spPr>
              <a:solidFill>
                <a:schemeClr val="accent3">
                  <a:tint val="55000"/>
                </a:schemeClr>
              </a:solidFill>
              <a:ln w="9525" cap="flat" cmpd="sng" algn="ctr">
                <a:solidFill>
                  <a:schemeClr val="accent3">
                    <a:shade val="95000"/>
                  </a:schemeClr>
                </a:solidFill>
                <a:round/>
              </a:ln>
              <a:effectLst/>
            </c:spPr>
          </c:dPt>
          <c:dPt>
            <c:idx val="3"/>
            <c:bubble3D val="0"/>
            <c:spPr>
              <a:solidFill>
                <a:schemeClr val="accent4">
                  <a:tint val="55000"/>
                </a:schemeClr>
              </a:solidFill>
              <a:ln w="9525" cap="flat" cmpd="sng" algn="ctr">
                <a:solidFill>
                  <a:schemeClr val="accent4">
                    <a:shade val="95000"/>
                  </a:schemeClr>
                </a:solidFill>
                <a:round/>
              </a:ln>
              <a:effectLst/>
            </c:spPr>
          </c:dPt>
          <c:dPt>
            <c:idx val="4"/>
            <c:bubble3D val="0"/>
            <c:spPr>
              <a:solidFill>
                <a:schemeClr val="accent5">
                  <a:tint val="55000"/>
                </a:schemeClr>
              </a:solidFill>
              <a:ln w="9525" cap="flat" cmpd="sng" algn="ctr">
                <a:solidFill>
                  <a:schemeClr val="accent5">
                    <a:shade val="95000"/>
                  </a:schemeClr>
                </a:solidFill>
                <a:round/>
              </a:ln>
              <a:effectLst/>
            </c:spPr>
          </c:dPt>
          <c:dPt>
            <c:idx val="5"/>
            <c:bubble3D val="0"/>
            <c:spPr>
              <a:solidFill>
                <a:schemeClr val="accent6">
                  <a:tint val="55000"/>
                </a:schemeClr>
              </a:solidFill>
              <a:ln w="9525" cap="flat" cmpd="sng" algn="ctr">
                <a:solidFill>
                  <a:schemeClr val="accent6">
                    <a:shade val="95000"/>
                  </a:schemeClr>
                </a:solidFill>
                <a:round/>
              </a:ln>
              <a:effectLst/>
            </c:spPr>
          </c:dPt>
          <c:dPt>
            <c:idx val="6"/>
            <c:bubble3D val="0"/>
            <c:spPr>
              <a:solidFill>
                <a:schemeClr val="accent1">
                  <a:lumMod val="60000"/>
                  <a:tint val="55000"/>
                </a:schemeClr>
              </a:solidFill>
              <a:ln w="9525" cap="flat" cmpd="sng" algn="ctr">
                <a:solidFill>
                  <a:schemeClr val="accent1">
                    <a:lumMod val="60000"/>
                    <a:shade val="95000"/>
                  </a:schemeClr>
                </a:solidFill>
                <a:round/>
              </a:ln>
              <a:effectLst/>
            </c:spPr>
          </c:dPt>
          <c:dPt>
            <c:idx val="7"/>
            <c:bubble3D val="0"/>
            <c:spPr>
              <a:solidFill>
                <a:schemeClr val="accent2">
                  <a:lumMod val="60000"/>
                  <a:tint val="55000"/>
                </a:schemeClr>
              </a:solidFill>
              <a:ln w="9525" cap="flat" cmpd="sng" algn="ctr">
                <a:solidFill>
                  <a:schemeClr val="accent2">
                    <a:lumMod val="60000"/>
                    <a:shade val="95000"/>
                  </a:schemeClr>
                </a:solidFill>
                <a:round/>
              </a:ln>
              <a:effectLst/>
            </c:spPr>
          </c:dPt>
          <c:dPt>
            <c:idx val="8"/>
            <c:bubble3D val="0"/>
            <c:spPr>
              <a:solidFill>
                <a:schemeClr val="accent3">
                  <a:lumMod val="60000"/>
                  <a:tint val="55000"/>
                </a:schemeClr>
              </a:solidFill>
              <a:ln w="9525" cap="flat" cmpd="sng" algn="ctr">
                <a:solidFill>
                  <a:schemeClr val="accent3">
                    <a:lumMod val="60000"/>
                    <a:shade val="95000"/>
                  </a:schemeClr>
                </a:solidFill>
                <a:round/>
              </a:ln>
              <a:effectLst/>
            </c:spPr>
          </c:dPt>
          <c:dPt>
            <c:idx val="9"/>
            <c:bubble3D val="0"/>
            <c:spPr>
              <a:solidFill>
                <a:schemeClr val="accent4">
                  <a:lumMod val="60000"/>
                  <a:tint val="55000"/>
                </a:schemeClr>
              </a:solidFill>
              <a:ln w="9525" cap="flat" cmpd="sng" algn="ctr">
                <a:solidFill>
                  <a:schemeClr val="accent4">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KPIs!$K$32:$K$42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KPIs!$L$32:$L$42</c:f>
              <c:numCache>
                <c:formatCode>0%</c:formatCode>
                <c:ptCount val="10"/>
                <c:pt idx="0">
                  <c:v>0.20267596303827834</c:v>
                </c:pt>
                <c:pt idx="1">
                  <c:v>0.20854645096616889</c:v>
                </c:pt>
                <c:pt idx="2">
                  <c:v>0.2170300009942801</c:v>
                </c:pt>
                <c:pt idx="3">
                  <c:v>0.21236470949139383</c:v>
                </c:pt>
                <c:pt idx="4">
                  <c:v>0.22304696262659357</c:v>
                </c:pt>
                <c:pt idx="5">
                  <c:v>0.24762828231911657</c:v>
                </c:pt>
                <c:pt idx="6">
                  <c:v>0.27993052045438011</c:v>
                </c:pt>
                <c:pt idx="7">
                  <c:v>0.26937639253651674</c:v>
                </c:pt>
                <c:pt idx="8">
                  <c:v>0.2258496785922264</c:v>
                </c:pt>
                <c:pt idx="9">
                  <c:v>0.21046107228633879</c:v>
                </c:pt>
              </c:numCache>
            </c:numRef>
          </c:val>
          <c:extLst>
            <c:ext xmlns:c16="http://schemas.microsoft.com/office/drawing/2014/chart" uri="{C3380CC4-5D6E-409C-BE32-E72D297353CC}">
              <c16:uniqueId val="{00000000-1C15-E744-8C3D-6D80DC4719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Growth</a:t>
            </a:r>
            <a:endParaRPr lang="en-GB"/>
          </a:p>
        </c:rich>
      </c:tx>
      <c:layout>
        <c:manualLayout>
          <c:xMode val="edge"/>
          <c:yMode val="edge"/>
          <c:x val="3.7305555555555578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KPIs!$B$32:$B$42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KPIs!$C$32:$C$42</c:f>
              <c:numCache>
                <c:formatCode>_ * #,##0.00_ ;_ * \-#,##0.00_ ;_ * "-"??_ ;_ @_ </c:formatCode>
                <c:ptCount val="10"/>
                <c:pt idx="0">
                  <c:v>63161.56</c:v>
                </c:pt>
                <c:pt idx="1">
                  <c:v>73271.350000000006</c:v>
                </c:pt>
                <c:pt idx="2">
                  <c:v>85287.84</c:v>
                </c:pt>
                <c:pt idx="3">
                  <c:v>105160.74</c:v>
                </c:pt>
                <c:pt idx="4">
                  <c:v>122189.29</c:v>
                </c:pt>
                <c:pt idx="5">
                  <c:v>128552.4</c:v>
                </c:pt>
                <c:pt idx="6">
                  <c:v>135936.41</c:v>
                </c:pt>
                <c:pt idx="7">
                  <c:v>170754.05</c:v>
                </c:pt>
                <c:pt idx="8">
                  <c:v>283649.02</c:v>
                </c:pt>
                <c:pt idx="9">
                  <c:v>336367.43</c:v>
                </c:pt>
              </c:numCache>
            </c:numRef>
          </c:val>
          <c:smooth val="0"/>
          <c:extLst>
            <c:ext xmlns:c16="http://schemas.microsoft.com/office/drawing/2014/chart" uri="{C3380CC4-5D6E-409C-BE32-E72D297353CC}">
              <c16:uniqueId val="{00000000-E344-7740-A1BF-B7E6F7559C8C}"/>
            </c:ext>
          </c:extLst>
        </c:ser>
        <c:dLbls>
          <c:dLblPos val="t"/>
          <c:showLegendKey val="0"/>
          <c:showVal val="1"/>
          <c:showCatName val="0"/>
          <c:showSerName val="0"/>
          <c:showPercent val="0"/>
          <c:showBubbleSize val="0"/>
        </c:dLbls>
        <c:marker val="1"/>
        <c:smooth val="0"/>
        <c:axId val="1224231023"/>
        <c:axId val="911453743"/>
      </c:lineChart>
      <c:catAx>
        <c:axId val="122423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453743"/>
        <c:crosses val="autoZero"/>
        <c:auto val="1"/>
        <c:lblAlgn val="ctr"/>
        <c:lblOffset val="100"/>
        <c:noMultiLvlLbl val="0"/>
      </c:catAx>
      <c:valAx>
        <c:axId val="911453743"/>
        <c:scaling>
          <c:orientation val="minMax"/>
        </c:scaling>
        <c:delete val="0"/>
        <c:axPos val="l"/>
        <c:numFmt formatCode="&quot;₹&quot;0.0,,\c\r"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31023"/>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Profir</a:t>
            </a:r>
            <a:r>
              <a:rPr lang="en-GB" baseline="0"/>
              <a:t> Growth</a:t>
            </a:r>
            <a:endParaRPr lang="en-GB"/>
          </a:p>
        </c:rich>
      </c:tx>
      <c:layout>
        <c:manualLayout>
          <c:xMode val="edge"/>
          <c:yMode val="edge"/>
          <c:x val="2.2645669291338617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KPIs!$F$31</c:f>
              <c:strCache>
                <c:ptCount val="1"/>
                <c:pt idx="0">
                  <c:v>Total</c:v>
                </c:pt>
              </c:strCache>
            </c:strRef>
          </c:tx>
          <c:spPr>
            <a:solidFill>
              <a:schemeClr val="accent1"/>
            </a:solidFill>
            <a:ln>
              <a:noFill/>
            </a:ln>
            <a:effectLst/>
          </c:spPr>
          <c:invertIfNegative val="0"/>
          <c:dLbls>
            <c:numFmt formatCode="&quot;₹&quot;0.0,,\c\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KPIs!$E$32:$E$42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KPIs!$F$32:$F$42</c:f>
              <c:numCache>
                <c:formatCode>General</c:formatCode>
                <c:ptCount val="10"/>
                <c:pt idx="0">
                  <c:v>12801.33</c:v>
                </c:pt>
                <c:pt idx="1">
                  <c:v>15280.48</c:v>
                </c:pt>
                <c:pt idx="2">
                  <c:v>18510.02</c:v>
                </c:pt>
                <c:pt idx="3">
                  <c:v>22332.43</c:v>
                </c:pt>
                <c:pt idx="4">
                  <c:v>27253.95</c:v>
                </c:pt>
                <c:pt idx="5">
                  <c:v>31833.21</c:v>
                </c:pt>
                <c:pt idx="6">
                  <c:v>38052.75</c:v>
                </c:pt>
                <c:pt idx="7">
                  <c:v>45997.11</c:v>
                </c:pt>
                <c:pt idx="8">
                  <c:v>64062.04</c:v>
                </c:pt>
                <c:pt idx="9">
                  <c:v>70792.25</c:v>
                </c:pt>
              </c:numCache>
            </c:numRef>
          </c:val>
          <c:extLst>
            <c:ext xmlns:c16="http://schemas.microsoft.com/office/drawing/2014/chart" uri="{C3380CC4-5D6E-409C-BE32-E72D297353CC}">
              <c16:uniqueId val="{00000000-CC1F-1444-BF87-36923FB2361D}"/>
            </c:ext>
          </c:extLst>
        </c:ser>
        <c:dLbls>
          <c:showLegendKey val="0"/>
          <c:showVal val="1"/>
          <c:showCatName val="0"/>
          <c:showSerName val="0"/>
          <c:showPercent val="0"/>
          <c:showBubbleSize val="0"/>
        </c:dLbls>
        <c:gapWidth val="219"/>
        <c:overlap val="-27"/>
        <c:axId val="1799723615"/>
        <c:axId val="1003577967"/>
      </c:barChart>
      <c:catAx>
        <c:axId val="17997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7967"/>
        <c:crosses val="autoZero"/>
        <c:auto val="1"/>
        <c:lblAlgn val="ctr"/>
        <c:lblOffset val="100"/>
        <c:noMultiLvlLbl val="0"/>
      </c:catAx>
      <c:valAx>
        <c:axId val="100357796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23615"/>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a:t>
            </a:r>
          </a:p>
        </c:rich>
      </c:tx>
      <c:layout>
        <c:manualLayout>
          <c:xMode val="edge"/>
          <c:yMode val="edge"/>
          <c:x val="2.8374890638670141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KPIs!$I$31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KPIs!$H$32:$H$42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KPIs!$I$32:$I$42</c:f>
              <c:numCache>
                <c:formatCode>0%</c:formatCode>
                <c:ptCount val="10"/>
                <c:pt idx="0">
                  <c:v>0.17228288656364052</c:v>
                </c:pt>
                <c:pt idx="1">
                  <c:v>0.16646500123374144</c:v>
                </c:pt>
                <c:pt idx="2">
                  <c:v>0.16888838442421941</c:v>
                </c:pt>
                <c:pt idx="3">
                  <c:v>0.14532467909386093</c:v>
                </c:pt>
                <c:pt idx="4">
                  <c:v>0.15453702286663359</c:v>
                </c:pt>
                <c:pt idx="5">
                  <c:v>0.15172385820363912</c:v>
                </c:pt>
                <c:pt idx="6">
                  <c:v>0.15385654498268422</c:v>
                </c:pt>
                <c:pt idx="7">
                  <c:v>0.1589189721442453</c:v>
                </c:pt>
                <c:pt idx="8">
                  <c:v>0.1403652645377006</c:v>
                </c:pt>
                <c:pt idx="9">
                  <c:v>0.13567207642915086</c:v>
                </c:pt>
              </c:numCache>
            </c:numRef>
          </c:val>
          <c:smooth val="0"/>
          <c:extLst>
            <c:ext xmlns:c16="http://schemas.microsoft.com/office/drawing/2014/chart" uri="{C3380CC4-5D6E-409C-BE32-E72D297353CC}">
              <c16:uniqueId val="{00000000-C855-D04F-9996-7532FF62F33C}"/>
            </c:ext>
          </c:extLst>
        </c:ser>
        <c:dLbls>
          <c:dLblPos val="t"/>
          <c:showLegendKey val="0"/>
          <c:showVal val="1"/>
          <c:showCatName val="0"/>
          <c:showSerName val="0"/>
          <c:showPercent val="0"/>
          <c:showBubbleSize val="0"/>
        </c:dLbls>
        <c:marker val="1"/>
        <c:smooth val="0"/>
        <c:axId val="911798687"/>
        <c:axId val="1596783823"/>
      </c:lineChart>
      <c:catAx>
        <c:axId val="9117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83823"/>
        <c:crosses val="autoZero"/>
        <c:auto val="1"/>
        <c:lblAlgn val="ctr"/>
        <c:lblOffset val="100"/>
        <c:noMultiLvlLbl val="0"/>
      </c:catAx>
      <c:valAx>
        <c:axId val="1596783823"/>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98687"/>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[HDFC Bank-3.xlsx]KPIs!PivotTable8</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Profit</a:t>
            </a:r>
            <a:r>
              <a:rPr lang="en-US" baseline="0"/>
              <a:t> Margin</a:t>
            </a:r>
            <a:endParaRPr lang="en-US"/>
          </a:p>
        </c:rich>
      </c:tx>
      <c:layout>
        <c:manualLayout>
          <c:xMode val="edge"/>
          <c:yMode val="edge"/>
          <c:x val="1.7034558180227481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tint val="55000"/>
            </a:schemeClr>
          </a:soli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55000"/>
            </a:schemeClr>
          </a:solidFill>
          <a:ln w="9525" cap="flat" cmpd="sng" algn="ctr">
            <a:solidFill>
              <a:schemeClr val="accent1">
                <a:shade val="95000"/>
              </a:schemeClr>
            </a:solidFill>
            <a:round/>
          </a:ln>
          <a:effectLst/>
        </c:spPr>
      </c:pivotFmt>
      <c:pivotFmt>
        <c:idx val="3"/>
        <c:spPr>
          <a:solidFill>
            <a:schemeClr val="accent1">
              <a:tint val="55000"/>
            </a:schemeClr>
          </a:solidFill>
          <a:ln w="9525" cap="flat" cmpd="sng" algn="ctr">
            <a:solidFill>
              <a:schemeClr val="accent1">
                <a:shade val="95000"/>
              </a:schemeClr>
            </a:solidFill>
            <a:round/>
          </a:ln>
          <a:effectLst/>
        </c:spPr>
      </c:pivotFmt>
      <c:pivotFmt>
        <c:idx val="4"/>
        <c:spPr>
          <a:solidFill>
            <a:schemeClr val="accent1">
              <a:tint val="55000"/>
            </a:schemeClr>
          </a:solidFill>
          <a:ln w="9525" cap="flat" cmpd="sng" algn="ctr">
            <a:solidFill>
              <a:schemeClr val="accent1">
                <a:shade val="95000"/>
              </a:schemeClr>
            </a:solidFill>
            <a:round/>
          </a:ln>
          <a:effectLst/>
        </c:spPr>
      </c:pivotFmt>
      <c:pivotFmt>
        <c:idx val="5"/>
        <c:spPr>
          <a:solidFill>
            <a:schemeClr val="accent1">
              <a:tint val="55000"/>
            </a:schemeClr>
          </a:solidFill>
          <a:ln w="9525" cap="flat" cmpd="sng" algn="ctr">
            <a:solidFill>
              <a:schemeClr val="accent1">
                <a:shade val="95000"/>
              </a:schemeClr>
            </a:solidFill>
            <a:round/>
          </a:ln>
          <a:effectLst/>
        </c:spPr>
      </c:pivotFmt>
      <c:pivotFmt>
        <c:idx val="6"/>
        <c:spPr>
          <a:solidFill>
            <a:schemeClr val="accent1">
              <a:tint val="55000"/>
            </a:schemeClr>
          </a:solidFill>
          <a:ln w="9525" cap="flat" cmpd="sng" algn="ctr">
            <a:solidFill>
              <a:schemeClr val="accent1">
                <a:shade val="95000"/>
              </a:schemeClr>
            </a:solidFill>
            <a:round/>
          </a:ln>
          <a:effectLst/>
        </c:spPr>
      </c:pivotFmt>
      <c:pivotFmt>
        <c:idx val="7"/>
        <c:spPr>
          <a:solidFill>
            <a:schemeClr val="accent1">
              <a:tint val="55000"/>
            </a:schemeClr>
          </a:solidFill>
          <a:ln w="9525" cap="flat" cmpd="sng" algn="ctr">
            <a:solidFill>
              <a:schemeClr val="accent1">
                <a:shade val="95000"/>
              </a:schemeClr>
            </a:solidFill>
            <a:round/>
          </a:ln>
          <a:effectLst/>
        </c:spPr>
      </c:pivotFmt>
      <c:pivotFmt>
        <c:idx val="8"/>
        <c:spPr>
          <a:solidFill>
            <a:schemeClr val="accent1">
              <a:tint val="55000"/>
            </a:schemeClr>
          </a:solidFill>
          <a:ln w="9525" cap="flat" cmpd="sng" algn="ctr">
            <a:solidFill>
              <a:schemeClr val="accent1">
                <a:shade val="95000"/>
              </a:schemeClr>
            </a:solidFill>
            <a:round/>
          </a:ln>
          <a:effectLst/>
        </c:spPr>
      </c:pivotFmt>
      <c:pivotFmt>
        <c:idx val="9"/>
        <c:spPr>
          <a:solidFill>
            <a:schemeClr val="accent1">
              <a:tint val="55000"/>
            </a:schemeClr>
          </a:solidFill>
          <a:ln w="9525" cap="flat" cmpd="sng" algn="ctr">
            <a:solidFill>
              <a:schemeClr val="accent1">
                <a:shade val="95000"/>
              </a:schemeClr>
            </a:solidFill>
            <a:round/>
          </a:ln>
          <a:effectLst/>
        </c:spPr>
      </c:pivotFmt>
      <c:pivotFmt>
        <c:idx val="10"/>
        <c:spPr>
          <a:solidFill>
            <a:schemeClr val="accent1">
              <a:tint val="55000"/>
            </a:schemeClr>
          </a:solidFill>
          <a:ln w="9525" cap="flat" cmpd="sng" algn="ctr">
            <a:solidFill>
              <a:schemeClr val="accent1">
                <a:shade val="95000"/>
              </a:schemeClr>
            </a:solidFill>
            <a:round/>
          </a:ln>
          <a:effectLst/>
        </c:spPr>
      </c:pivotFmt>
      <c:pivotFmt>
        <c:idx val="11"/>
        <c:spPr>
          <a:solidFill>
            <a:schemeClr val="accent1">
              <a:tint val="55000"/>
            </a:schemeClr>
          </a:solidFill>
          <a:ln w="9525" cap="flat" cmpd="sng" algn="ctr">
            <a:solidFill>
              <a:schemeClr val="accent1">
                <a:shade val="95000"/>
              </a:schemeClr>
            </a:solidFill>
            <a:round/>
          </a:ln>
          <a:effectLst/>
        </c:spPr>
      </c:pivotFmt>
      <c:pivotFmt>
        <c:idx val="12"/>
        <c:spPr>
          <a:solidFill>
            <a:schemeClr val="accent1">
              <a:tint val="5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55000"/>
            </a:schemeClr>
          </a:solidFill>
          <a:ln w="9525" cap="flat" cmpd="sng" algn="ctr">
            <a:solidFill>
              <a:schemeClr val="accent1">
                <a:shade val="95000"/>
              </a:schemeClr>
            </a:solidFill>
            <a:round/>
          </a:ln>
          <a:effectLst/>
        </c:spPr>
      </c:pivotFmt>
      <c:pivotFmt>
        <c:idx val="14"/>
        <c:spPr>
          <a:solidFill>
            <a:schemeClr val="accent1">
              <a:tint val="55000"/>
            </a:schemeClr>
          </a:solidFill>
          <a:ln w="9525" cap="flat" cmpd="sng" algn="ctr">
            <a:solidFill>
              <a:schemeClr val="accent1">
                <a:shade val="95000"/>
              </a:schemeClr>
            </a:solidFill>
            <a:round/>
          </a:ln>
          <a:effectLst/>
        </c:spPr>
      </c:pivotFmt>
      <c:pivotFmt>
        <c:idx val="15"/>
        <c:spPr>
          <a:solidFill>
            <a:schemeClr val="accent1">
              <a:tint val="55000"/>
            </a:schemeClr>
          </a:solidFill>
          <a:ln w="9525" cap="flat" cmpd="sng" algn="ctr">
            <a:solidFill>
              <a:schemeClr val="accent1">
                <a:shade val="95000"/>
              </a:schemeClr>
            </a:solidFill>
            <a:round/>
          </a:ln>
          <a:effectLst/>
        </c:spPr>
      </c:pivotFmt>
      <c:pivotFmt>
        <c:idx val="16"/>
        <c:spPr>
          <a:solidFill>
            <a:schemeClr val="accent1">
              <a:tint val="55000"/>
            </a:schemeClr>
          </a:solidFill>
          <a:ln w="9525" cap="flat" cmpd="sng" algn="ctr">
            <a:solidFill>
              <a:schemeClr val="accent1">
                <a:shade val="95000"/>
              </a:schemeClr>
            </a:solidFill>
            <a:round/>
          </a:ln>
          <a:effectLst/>
        </c:spPr>
      </c:pivotFmt>
      <c:pivotFmt>
        <c:idx val="17"/>
        <c:spPr>
          <a:solidFill>
            <a:schemeClr val="accent1">
              <a:tint val="55000"/>
            </a:schemeClr>
          </a:solidFill>
          <a:ln w="9525" cap="flat" cmpd="sng" algn="ctr">
            <a:solidFill>
              <a:schemeClr val="accent1">
                <a:shade val="95000"/>
              </a:schemeClr>
            </a:solidFill>
            <a:round/>
          </a:ln>
          <a:effectLst/>
        </c:spPr>
      </c:pivotFmt>
      <c:pivotFmt>
        <c:idx val="18"/>
        <c:spPr>
          <a:solidFill>
            <a:schemeClr val="accent1">
              <a:tint val="55000"/>
            </a:schemeClr>
          </a:solidFill>
          <a:ln w="9525" cap="flat" cmpd="sng" algn="ctr">
            <a:solidFill>
              <a:schemeClr val="accent1">
                <a:shade val="95000"/>
              </a:schemeClr>
            </a:solidFill>
            <a:round/>
          </a:ln>
          <a:effectLst/>
        </c:spPr>
      </c:pivotFmt>
      <c:pivotFmt>
        <c:idx val="19"/>
        <c:spPr>
          <a:solidFill>
            <a:schemeClr val="accent1">
              <a:tint val="55000"/>
            </a:schemeClr>
          </a:solidFill>
          <a:ln w="9525" cap="flat" cmpd="sng" algn="ctr">
            <a:solidFill>
              <a:schemeClr val="accent1">
                <a:shade val="95000"/>
              </a:schemeClr>
            </a:solidFill>
            <a:round/>
          </a:ln>
          <a:effectLst/>
        </c:spPr>
      </c:pivotFmt>
      <c:pivotFmt>
        <c:idx val="20"/>
        <c:spPr>
          <a:solidFill>
            <a:schemeClr val="accent1">
              <a:tint val="55000"/>
            </a:schemeClr>
          </a:solidFill>
          <a:ln w="9525" cap="flat" cmpd="sng" algn="ctr">
            <a:solidFill>
              <a:schemeClr val="accent1">
                <a:shade val="95000"/>
              </a:schemeClr>
            </a:solidFill>
            <a:round/>
          </a:ln>
          <a:effectLst/>
        </c:spPr>
      </c:pivotFmt>
      <c:pivotFmt>
        <c:idx val="21"/>
        <c:spPr>
          <a:solidFill>
            <a:schemeClr val="accent1">
              <a:tint val="55000"/>
            </a:schemeClr>
          </a:solidFill>
          <a:ln w="9525" cap="flat" cmpd="sng" algn="ctr">
            <a:solidFill>
              <a:schemeClr val="accent1">
                <a:shade val="95000"/>
              </a:schemeClr>
            </a:solidFill>
            <a:round/>
          </a:ln>
          <a:effectLst/>
        </c:spPr>
      </c:pivotFmt>
      <c:pivotFmt>
        <c:idx val="22"/>
        <c:spPr>
          <a:solidFill>
            <a:schemeClr val="accent1">
              <a:tint val="55000"/>
            </a:schemeClr>
          </a:solidFill>
          <a:ln w="9525" cap="flat" cmpd="sng" algn="ctr">
            <a:solidFill>
              <a:schemeClr val="accent1">
                <a:shade val="95000"/>
              </a:schemeClr>
            </a:solidFill>
            <a:round/>
          </a:ln>
          <a:effectLst/>
        </c:spPr>
      </c:pivotFmt>
    </c:pivotFmts>
    <c:plotArea>
      <c:layout/>
      <c:pieChart>
        <c:varyColors val="1"/>
        <c:ser>
          <c:idx val="0"/>
          <c:order val="0"/>
          <c:tx>
            <c:strRef>
              <c:f>KPIs!$L$31</c:f>
              <c:strCache>
                <c:ptCount val="1"/>
                <c:pt idx="0">
                  <c:v>Total</c:v>
                </c:pt>
              </c:strCache>
            </c:strRef>
          </c:tx>
          <c:dPt>
            <c:idx val="0"/>
            <c:bubble3D val="0"/>
            <c:spPr>
              <a:solidFill>
                <a:schemeClr val="accent1">
                  <a:tint val="5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24EA-D242-A2C9-3EE3B1DB724A}"/>
              </c:ext>
            </c:extLst>
          </c:dPt>
          <c:dPt>
            <c:idx val="1"/>
            <c:bubble3D val="0"/>
            <c:spPr>
              <a:solidFill>
                <a:schemeClr val="accent2">
                  <a:tint val="55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3-24EA-D242-A2C9-3EE3B1DB724A}"/>
              </c:ext>
            </c:extLst>
          </c:dPt>
          <c:dPt>
            <c:idx val="2"/>
            <c:bubble3D val="0"/>
            <c:spPr>
              <a:solidFill>
                <a:schemeClr val="accent3">
                  <a:tint val="55000"/>
                </a:schemeClr>
              </a:solidFill>
              <a:ln w="9525" cap="flat" cmpd="sng" algn="ctr">
                <a:solidFill>
                  <a:schemeClr val="accent3">
                    <a:shade val="95000"/>
                  </a:schemeClr>
                </a:solidFill>
                <a:round/>
              </a:ln>
              <a:effectLst/>
            </c:spPr>
            <c:extLst>
              <c:ext xmlns:c16="http://schemas.microsoft.com/office/drawing/2014/chart" uri="{C3380CC4-5D6E-409C-BE32-E72D297353CC}">
                <c16:uniqueId val="{00000005-24EA-D242-A2C9-3EE3B1DB724A}"/>
              </c:ext>
            </c:extLst>
          </c:dPt>
          <c:dPt>
            <c:idx val="3"/>
            <c:bubble3D val="0"/>
            <c:spPr>
              <a:solidFill>
                <a:schemeClr val="accent4">
                  <a:tint val="55000"/>
                </a:schemeClr>
              </a:solidFill>
              <a:ln w="9525" cap="flat" cmpd="sng" algn="ctr">
                <a:solidFill>
                  <a:schemeClr val="accent4">
                    <a:shade val="95000"/>
                  </a:schemeClr>
                </a:solidFill>
                <a:round/>
              </a:ln>
              <a:effectLst/>
            </c:spPr>
            <c:extLst>
              <c:ext xmlns:c16="http://schemas.microsoft.com/office/drawing/2014/chart" uri="{C3380CC4-5D6E-409C-BE32-E72D297353CC}">
                <c16:uniqueId val="{00000007-24EA-D242-A2C9-3EE3B1DB724A}"/>
              </c:ext>
            </c:extLst>
          </c:dPt>
          <c:dPt>
            <c:idx val="4"/>
            <c:bubble3D val="0"/>
            <c:spPr>
              <a:solidFill>
                <a:schemeClr val="accent5">
                  <a:tint val="55000"/>
                </a:schemeClr>
              </a:solidFill>
              <a:ln w="9525" cap="flat" cmpd="sng" algn="ctr">
                <a:solidFill>
                  <a:schemeClr val="accent5">
                    <a:shade val="95000"/>
                  </a:schemeClr>
                </a:solidFill>
                <a:round/>
              </a:ln>
              <a:effectLst/>
            </c:spPr>
            <c:extLst>
              <c:ext xmlns:c16="http://schemas.microsoft.com/office/drawing/2014/chart" uri="{C3380CC4-5D6E-409C-BE32-E72D297353CC}">
                <c16:uniqueId val="{00000009-24EA-D242-A2C9-3EE3B1DB724A}"/>
              </c:ext>
            </c:extLst>
          </c:dPt>
          <c:dPt>
            <c:idx val="5"/>
            <c:bubble3D val="0"/>
            <c:spPr>
              <a:solidFill>
                <a:schemeClr val="accent6">
                  <a:tint val="55000"/>
                </a:schemeClr>
              </a:solidFill>
              <a:ln w="9525" cap="flat" cmpd="sng" algn="ctr">
                <a:solidFill>
                  <a:schemeClr val="accent6">
                    <a:shade val="95000"/>
                  </a:schemeClr>
                </a:solidFill>
                <a:round/>
              </a:ln>
              <a:effectLst/>
            </c:spPr>
            <c:extLst>
              <c:ext xmlns:c16="http://schemas.microsoft.com/office/drawing/2014/chart" uri="{C3380CC4-5D6E-409C-BE32-E72D297353CC}">
                <c16:uniqueId val="{0000000B-24EA-D242-A2C9-3EE3B1DB724A}"/>
              </c:ext>
            </c:extLst>
          </c:dPt>
          <c:dPt>
            <c:idx val="6"/>
            <c:bubble3D val="0"/>
            <c:spPr>
              <a:solidFill>
                <a:schemeClr val="accent1">
                  <a:lumMod val="60000"/>
                  <a:tint val="55000"/>
                </a:schemeClr>
              </a:soli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24EA-D242-A2C9-3EE3B1DB724A}"/>
              </c:ext>
            </c:extLst>
          </c:dPt>
          <c:dPt>
            <c:idx val="7"/>
            <c:bubble3D val="0"/>
            <c:spPr>
              <a:solidFill>
                <a:schemeClr val="accent2">
                  <a:lumMod val="60000"/>
                  <a:tint val="55000"/>
                </a:schemeClr>
              </a:soli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24EA-D242-A2C9-3EE3B1DB724A}"/>
              </c:ext>
            </c:extLst>
          </c:dPt>
          <c:dPt>
            <c:idx val="8"/>
            <c:bubble3D val="0"/>
            <c:spPr>
              <a:solidFill>
                <a:schemeClr val="accent3">
                  <a:lumMod val="60000"/>
                  <a:tint val="55000"/>
                </a:schemeClr>
              </a:soli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24EA-D242-A2C9-3EE3B1DB724A}"/>
              </c:ext>
            </c:extLst>
          </c:dPt>
          <c:dPt>
            <c:idx val="9"/>
            <c:bubble3D val="0"/>
            <c:spPr>
              <a:solidFill>
                <a:schemeClr val="accent4">
                  <a:lumMod val="60000"/>
                  <a:tint val="55000"/>
                </a:schemeClr>
              </a:soli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24EA-D242-A2C9-3EE3B1DB7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KPIs!$K$32:$K$42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KPIs!$L$32:$L$42</c:f>
              <c:numCache>
                <c:formatCode>0%</c:formatCode>
                <c:ptCount val="10"/>
                <c:pt idx="0">
                  <c:v>0.20267596303827834</c:v>
                </c:pt>
                <c:pt idx="1">
                  <c:v>0.20854645096616889</c:v>
                </c:pt>
                <c:pt idx="2">
                  <c:v>0.2170300009942801</c:v>
                </c:pt>
                <c:pt idx="3">
                  <c:v>0.21236470949139383</c:v>
                </c:pt>
                <c:pt idx="4">
                  <c:v>0.22304696262659357</c:v>
                </c:pt>
                <c:pt idx="5">
                  <c:v>0.24762828231911657</c:v>
                </c:pt>
                <c:pt idx="6">
                  <c:v>0.27993052045438011</c:v>
                </c:pt>
                <c:pt idx="7">
                  <c:v>0.26937639253651674</c:v>
                </c:pt>
                <c:pt idx="8">
                  <c:v>0.2258496785922264</c:v>
                </c:pt>
                <c:pt idx="9">
                  <c:v>0.21046107228633879</c:v>
                </c:pt>
              </c:numCache>
            </c:numRef>
          </c:val>
          <c:extLst>
            <c:ext xmlns:c16="http://schemas.microsoft.com/office/drawing/2014/chart" uri="{C3380CC4-5D6E-409C-BE32-E72D297353CC}">
              <c16:uniqueId val="{00000014-24EA-D242-A2C9-3EE3B1DB72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12</xdr:col>
      <xdr:colOff>266109</xdr:colOff>
      <xdr:row>29</xdr:row>
      <xdr:rowOff>134974</xdr:rowOff>
    </xdr:from>
    <xdr:to>
      <xdr:col>14</xdr:col>
      <xdr:colOff>440956</xdr:colOff>
      <xdr:row>42</xdr:row>
      <xdr:rowOff>68146</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CEFF489B-350E-B2DB-AF30-3BE8A92DAA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81342" y="570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940685</xdr:colOff>
      <xdr:row>44</xdr:row>
      <xdr:rowOff>90377</xdr:rowOff>
    </xdr:from>
    <xdr:to>
      <xdr:col>5</xdr:col>
      <xdr:colOff>772336</xdr:colOff>
      <xdr:row>58</xdr:row>
      <xdr:rowOff>145903</xdr:rowOff>
    </xdr:to>
    <xdr:graphicFrame macro="">
      <xdr:nvGraphicFramePr>
        <xdr:cNvPr id="2" name="Chart 1">
          <a:extLst>
            <a:ext uri="{FF2B5EF4-FFF2-40B4-BE49-F238E27FC236}">
              <a16:creationId xmlns:a16="http://schemas.microsoft.com/office/drawing/2014/main" id="{C95F067D-8E1F-CB4D-7128-6960F301E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778243</xdr:colOff>
      <xdr:row>44</xdr:row>
      <xdr:rowOff>75610</xdr:rowOff>
    </xdr:from>
    <xdr:to>
      <xdr:col>11</xdr:col>
      <xdr:colOff>196406</xdr:colOff>
      <xdr:row>58</xdr:row>
      <xdr:rowOff>131136</xdr:rowOff>
    </xdr:to>
    <xdr:graphicFrame macro="">
      <xdr:nvGraphicFramePr>
        <xdr:cNvPr id="3" name="Chart 2">
          <a:extLst>
            <a:ext uri="{FF2B5EF4-FFF2-40B4-BE49-F238E27FC236}">
              <a16:creationId xmlns:a16="http://schemas.microsoft.com/office/drawing/2014/main" id="{1042407A-B58D-183F-78DD-D07988A0D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217081</xdr:colOff>
      <xdr:row>44</xdr:row>
      <xdr:rowOff>75609</xdr:rowOff>
    </xdr:from>
    <xdr:to>
      <xdr:col>15</xdr:col>
      <xdr:colOff>787104</xdr:colOff>
      <xdr:row>58</xdr:row>
      <xdr:rowOff>131135</xdr:rowOff>
    </xdr:to>
    <xdr:graphicFrame macro="">
      <xdr:nvGraphicFramePr>
        <xdr:cNvPr id="4" name="Chart 3">
          <a:extLst>
            <a:ext uri="{FF2B5EF4-FFF2-40B4-BE49-F238E27FC236}">
              <a16:creationId xmlns:a16="http://schemas.microsoft.com/office/drawing/2014/main" id="{51425D8F-F986-E56E-E893-30679D832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793011</xdr:colOff>
      <xdr:row>44</xdr:row>
      <xdr:rowOff>75610</xdr:rowOff>
    </xdr:from>
    <xdr:to>
      <xdr:col>21</xdr:col>
      <xdr:colOff>403151</xdr:colOff>
      <xdr:row>58</xdr:row>
      <xdr:rowOff>131136</xdr:rowOff>
    </xdr:to>
    <xdr:graphicFrame macro="">
      <xdr:nvGraphicFramePr>
        <xdr:cNvPr id="5" name="Chart 4">
          <a:extLst>
            <a:ext uri="{FF2B5EF4-FFF2-40B4-BE49-F238E27FC236}">
              <a16:creationId xmlns:a16="http://schemas.microsoft.com/office/drawing/2014/main" id="{822327E6-B102-5065-4104-AC52BE290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355599</xdr:colOff>
      <xdr:row>1</xdr:row>
      <xdr:rowOff>126999</xdr:rowOff>
    </xdr:from>
    <xdr:to>
      <xdr:col>20</xdr:col>
      <xdr:colOff>14597</xdr:colOff>
      <xdr:row>46</xdr:row>
      <xdr:rowOff>58391</xdr:rowOff>
    </xdr:to>
    <xdr:sp macro="" textlink="">
      <xdr:nvSpPr>
        <xdr:cNvPr id="2" name="Snip Single Corner of Rectangle 1">
          <a:extLst>
            <a:ext uri="{FF2B5EF4-FFF2-40B4-BE49-F238E27FC236}">
              <a16:creationId xmlns:a16="http://schemas.microsoft.com/office/drawing/2014/main" id="{D61AEB49-D56A-3A87-4131-0D15A9DABB9F}"/>
            </a:ext>
          </a:extLst>
        </xdr:cNvPr>
        <xdr:cNvSpPr/>
      </xdr:nvSpPr>
      <xdr:spPr>
        <a:xfrm>
          <a:off x="355599" y="316769"/>
          <a:ext cx="16300377" cy="8471047"/>
        </a:xfrm>
        <a:prstGeom prst="snip1Rect">
          <a:avLst/>
        </a:prstGeom>
        <a:solidFill>
          <a:schemeClr val="accent4">
            <a:lumMod val="75000"/>
          </a:schemeClr>
        </a:solidFill>
        <a:effectLst>
          <a:outerShdw blurRad="1163946" dist="10651" dir="5400000" algn="ctr" rotWithShape="0">
            <a:srgbClr val="000000">
              <a:alpha val="30871"/>
            </a:srgbClr>
          </a:outerShdw>
          <a:reflection endPos="0" dist="50800" dir="5400000" sy="-100000" algn="bl" rotWithShape="0"/>
        </a:effectLst>
        <a:scene3d>
          <a:camera prst="orthographicFront"/>
          <a:lightRig rig="threePt" dir="t"/>
        </a:scene3d>
        <a:sp3d>
          <a:bevelB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0</xdr:col>
      <xdr:colOff>743827</xdr:colOff>
      <xdr:row>4</xdr:row>
      <xdr:rowOff>171893</xdr:rowOff>
    </xdr:from>
    <xdr:to>
      <xdr:col>3</xdr:col>
      <xdr:colOff>758424</xdr:colOff>
      <xdr:row>28</xdr:row>
      <xdr:rowOff>156967</xdr:rowOff>
    </xdr:to>
    <xdr:sp macro="" textlink="">
      <xdr:nvSpPr>
        <xdr:cNvPr id="3" name="Snip Single Corner of Rectangle 2">
          <a:extLst>
            <a:ext uri="{FF2B5EF4-FFF2-40B4-BE49-F238E27FC236}">
              <a16:creationId xmlns:a16="http://schemas.microsoft.com/office/drawing/2014/main" id="{A48F5A14-A779-D0F0-F451-B0859775DD59}"/>
            </a:ext>
          </a:extLst>
        </xdr:cNvPr>
        <xdr:cNvSpPr/>
      </xdr:nvSpPr>
      <xdr:spPr>
        <a:xfrm>
          <a:off x="743827" y="913915"/>
          <a:ext cx="2497518" cy="4437209"/>
        </a:xfrm>
        <a:prstGeom prst="snip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291954</xdr:colOff>
      <xdr:row>4</xdr:row>
      <xdr:rowOff>29195</xdr:rowOff>
    </xdr:from>
    <xdr:to>
      <xdr:col>6</xdr:col>
      <xdr:colOff>321149</xdr:colOff>
      <xdr:row>8</xdr:row>
      <xdr:rowOff>175172</xdr:rowOff>
    </xdr:to>
    <xdr:sp macro="" textlink="">
      <xdr:nvSpPr>
        <xdr:cNvPr id="4" name="Round Single Corner of Rectangle 3">
          <a:extLst>
            <a:ext uri="{FF2B5EF4-FFF2-40B4-BE49-F238E27FC236}">
              <a16:creationId xmlns:a16="http://schemas.microsoft.com/office/drawing/2014/main" id="{B227CBDA-2006-6090-41BD-04657E6AD14F}"/>
            </a:ext>
          </a:extLst>
        </xdr:cNvPr>
        <xdr:cNvSpPr/>
      </xdr:nvSpPr>
      <xdr:spPr>
        <a:xfrm>
          <a:off x="3620230" y="788275"/>
          <a:ext cx="1693333" cy="905058"/>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298377</xdr:colOff>
      <xdr:row>14</xdr:row>
      <xdr:rowOff>108607</xdr:rowOff>
    </xdr:from>
    <xdr:to>
      <xdr:col>6</xdr:col>
      <xdr:colOff>327572</xdr:colOff>
      <xdr:row>19</xdr:row>
      <xdr:rowOff>64815</xdr:rowOff>
    </xdr:to>
    <xdr:sp macro="" textlink="">
      <xdr:nvSpPr>
        <xdr:cNvPr id="5" name="Round Single Corner of Rectangle 4">
          <a:extLst>
            <a:ext uri="{FF2B5EF4-FFF2-40B4-BE49-F238E27FC236}">
              <a16:creationId xmlns:a16="http://schemas.microsoft.com/office/drawing/2014/main" id="{3F4481F7-32C4-7447-A121-0B000F6E869B}"/>
            </a:ext>
          </a:extLst>
        </xdr:cNvPr>
        <xdr:cNvSpPr/>
      </xdr:nvSpPr>
      <xdr:spPr>
        <a:xfrm>
          <a:off x="3626653" y="2765389"/>
          <a:ext cx="1693333" cy="905058"/>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290204</xdr:colOff>
      <xdr:row>25</xdr:row>
      <xdr:rowOff>115030</xdr:rowOff>
    </xdr:from>
    <xdr:to>
      <xdr:col>6</xdr:col>
      <xdr:colOff>319399</xdr:colOff>
      <xdr:row>30</xdr:row>
      <xdr:rowOff>71238</xdr:rowOff>
    </xdr:to>
    <xdr:sp macro="" textlink="">
      <xdr:nvSpPr>
        <xdr:cNvPr id="6" name="Round Single Corner of Rectangle 5">
          <a:extLst>
            <a:ext uri="{FF2B5EF4-FFF2-40B4-BE49-F238E27FC236}">
              <a16:creationId xmlns:a16="http://schemas.microsoft.com/office/drawing/2014/main" id="{A5AE570C-2349-5F4D-A3FE-8BCD836CABD5}"/>
            </a:ext>
          </a:extLst>
        </xdr:cNvPr>
        <xdr:cNvSpPr/>
      </xdr:nvSpPr>
      <xdr:spPr>
        <a:xfrm>
          <a:off x="3618480" y="4859283"/>
          <a:ext cx="1693333" cy="905058"/>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340418</xdr:colOff>
      <xdr:row>37</xdr:row>
      <xdr:rowOff>77659</xdr:rowOff>
    </xdr:from>
    <xdr:to>
      <xdr:col>6</xdr:col>
      <xdr:colOff>369613</xdr:colOff>
      <xdr:row>42</xdr:row>
      <xdr:rowOff>33866</xdr:rowOff>
    </xdr:to>
    <xdr:sp macro="" textlink="">
      <xdr:nvSpPr>
        <xdr:cNvPr id="7" name="Round Single Corner of Rectangle 6">
          <a:extLst>
            <a:ext uri="{FF2B5EF4-FFF2-40B4-BE49-F238E27FC236}">
              <a16:creationId xmlns:a16="http://schemas.microsoft.com/office/drawing/2014/main" id="{8B9C9895-3F33-BB47-AD5B-9260F4E40D44}"/>
            </a:ext>
          </a:extLst>
        </xdr:cNvPr>
        <xdr:cNvSpPr/>
      </xdr:nvSpPr>
      <xdr:spPr>
        <a:xfrm>
          <a:off x="3668694" y="7099153"/>
          <a:ext cx="1693333" cy="905058"/>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0</xdr:colOff>
      <xdr:row>1</xdr:row>
      <xdr:rowOff>160575</xdr:rowOff>
    </xdr:from>
    <xdr:to>
      <xdr:col>4</xdr:col>
      <xdr:colOff>102184</xdr:colOff>
      <xdr:row>46</xdr:row>
      <xdr:rowOff>29196</xdr:rowOff>
    </xdr:to>
    <xdr:cxnSp macro="">
      <xdr:nvCxnSpPr>
        <xdr:cNvPr id="9" name="Straight Connector 8">
          <a:extLst>
            <a:ext uri="{FF2B5EF4-FFF2-40B4-BE49-F238E27FC236}">
              <a16:creationId xmlns:a16="http://schemas.microsoft.com/office/drawing/2014/main" id="{22E9E191-0704-8CB4-2E46-604B4703DF25}"/>
            </a:ext>
          </a:extLst>
        </xdr:cNvPr>
        <xdr:cNvCxnSpPr/>
      </xdr:nvCxnSpPr>
      <xdr:spPr>
        <a:xfrm>
          <a:off x="3328276" y="350345"/>
          <a:ext cx="102184" cy="8408276"/>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6</xdr:col>
      <xdr:colOff>648721</xdr:colOff>
      <xdr:row>1</xdr:row>
      <xdr:rowOff>64814</xdr:rowOff>
    </xdr:from>
    <xdr:to>
      <xdr:col>6</xdr:col>
      <xdr:colOff>656896</xdr:colOff>
      <xdr:row>46</xdr:row>
      <xdr:rowOff>58391</xdr:rowOff>
    </xdr:to>
    <xdr:cxnSp macro="">
      <xdr:nvCxnSpPr>
        <xdr:cNvPr id="12" name="Straight Connector 11">
          <a:extLst>
            <a:ext uri="{FF2B5EF4-FFF2-40B4-BE49-F238E27FC236}">
              <a16:creationId xmlns:a16="http://schemas.microsoft.com/office/drawing/2014/main" id="{1E59CE02-DA1E-D647-B188-9F6B4845AE48}"/>
            </a:ext>
          </a:extLst>
        </xdr:cNvPr>
        <xdr:cNvCxnSpPr/>
      </xdr:nvCxnSpPr>
      <xdr:spPr>
        <a:xfrm>
          <a:off x="5641135" y="254584"/>
          <a:ext cx="8175" cy="8533232"/>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12</xdr:col>
      <xdr:colOff>801121</xdr:colOff>
      <xdr:row>1</xdr:row>
      <xdr:rowOff>71237</xdr:rowOff>
    </xdr:from>
    <xdr:to>
      <xdr:col>13</xdr:col>
      <xdr:colOff>0</xdr:colOff>
      <xdr:row>46</xdr:row>
      <xdr:rowOff>43793</xdr:rowOff>
    </xdr:to>
    <xdr:cxnSp macro="">
      <xdr:nvCxnSpPr>
        <xdr:cNvPr id="15" name="Straight Connector 14">
          <a:extLst>
            <a:ext uri="{FF2B5EF4-FFF2-40B4-BE49-F238E27FC236}">
              <a16:creationId xmlns:a16="http://schemas.microsoft.com/office/drawing/2014/main" id="{112C75EB-BE64-3C48-B059-C212825D0F7F}"/>
            </a:ext>
          </a:extLst>
        </xdr:cNvPr>
        <xdr:cNvCxnSpPr/>
      </xdr:nvCxnSpPr>
      <xdr:spPr>
        <a:xfrm>
          <a:off x="10785949" y="261007"/>
          <a:ext cx="30948" cy="8512211"/>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6</xdr:col>
      <xdr:colOff>632373</xdr:colOff>
      <xdr:row>22</xdr:row>
      <xdr:rowOff>102183</xdr:rowOff>
    </xdr:from>
    <xdr:to>
      <xdr:col>20</xdr:col>
      <xdr:colOff>29196</xdr:colOff>
      <xdr:row>22</xdr:row>
      <xdr:rowOff>150648</xdr:rowOff>
    </xdr:to>
    <xdr:cxnSp macro="">
      <xdr:nvCxnSpPr>
        <xdr:cNvPr id="16" name="Straight Connector 15">
          <a:extLst>
            <a:ext uri="{FF2B5EF4-FFF2-40B4-BE49-F238E27FC236}">
              <a16:creationId xmlns:a16="http://schemas.microsoft.com/office/drawing/2014/main" id="{FF4C6C96-05BC-3440-911D-2DCB47FF4801}"/>
            </a:ext>
          </a:extLst>
        </xdr:cNvPr>
        <xdr:cNvCxnSpPr/>
      </xdr:nvCxnSpPr>
      <xdr:spPr>
        <a:xfrm flipV="1">
          <a:off x="5624787" y="4277126"/>
          <a:ext cx="11045788" cy="4846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21</xdr:col>
      <xdr:colOff>58391</xdr:colOff>
      <xdr:row>14</xdr:row>
      <xdr:rowOff>72986</xdr:rowOff>
    </xdr:from>
    <xdr:to>
      <xdr:col>24</xdr:col>
      <xdr:colOff>58391</xdr:colOff>
      <xdr:row>21</xdr:row>
      <xdr:rowOff>102183</xdr:rowOff>
    </xdr:to>
    <xdr:sp macro="" textlink="">
      <xdr:nvSpPr>
        <xdr:cNvPr id="30" name="TextBox 29">
          <a:extLst>
            <a:ext uri="{FF2B5EF4-FFF2-40B4-BE49-F238E27FC236}">
              <a16:creationId xmlns:a16="http://schemas.microsoft.com/office/drawing/2014/main" id="{C0EDA2F3-29BE-AFC0-502D-F746ABBBC2E6}"/>
            </a:ext>
          </a:extLst>
        </xdr:cNvPr>
        <xdr:cNvSpPr txBox="1"/>
      </xdr:nvSpPr>
      <xdr:spPr>
        <a:xfrm flipV="1">
          <a:off x="17531839" y="2729768"/>
          <a:ext cx="2496207" cy="1357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xdr:col>
      <xdr:colOff>262758</xdr:colOff>
      <xdr:row>6</xdr:row>
      <xdr:rowOff>58390</xdr:rowOff>
    </xdr:from>
    <xdr:to>
      <xdr:col>3</xdr:col>
      <xdr:colOff>204367</xdr:colOff>
      <xdr:row>10</xdr:row>
      <xdr:rowOff>58390</xdr:rowOff>
    </xdr:to>
    <xdr:sp macro="" textlink="">
      <xdr:nvSpPr>
        <xdr:cNvPr id="31" name="TextBox 30">
          <a:extLst>
            <a:ext uri="{FF2B5EF4-FFF2-40B4-BE49-F238E27FC236}">
              <a16:creationId xmlns:a16="http://schemas.microsoft.com/office/drawing/2014/main" id="{9B1BF10B-8A8A-0F51-E8B5-0B35C206B82F}"/>
            </a:ext>
          </a:extLst>
        </xdr:cNvPr>
        <xdr:cNvSpPr txBox="1"/>
      </xdr:nvSpPr>
      <xdr:spPr>
        <a:xfrm>
          <a:off x="1094827" y="1197011"/>
          <a:ext cx="1605747" cy="7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solidFill>
                <a:srgbClr val="FF0000"/>
              </a:solidFill>
              <a:latin typeface="Aharoni" panose="02010803020104030203" pitchFamily="2" charset="-79"/>
              <a:cs typeface="Aharoni" panose="02010803020104030203" pitchFamily="2" charset="-79"/>
            </a:rPr>
            <a:t>HDFC</a:t>
          </a:r>
        </a:p>
      </xdr:txBody>
    </xdr:sp>
    <xdr:clientData/>
  </xdr:twoCellAnchor>
  <xdr:twoCellAnchor editAs="oneCell">
    <xdr:from>
      <xdr:col>1</xdr:col>
      <xdr:colOff>72988</xdr:colOff>
      <xdr:row>11</xdr:row>
      <xdr:rowOff>0</xdr:rowOff>
    </xdr:from>
    <xdr:to>
      <xdr:col>3</xdr:col>
      <xdr:colOff>613103</xdr:colOff>
      <xdr:row>27</xdr:row>
      <xdr:rowOff>175173</xdr:rowOff>
    </xdr:to>
    <mc:AlternateContent xmlns:mc="http://schemas.openxmlformats.org/markup-compatibility/2006" xmlns:a14="http://schemas.microsoft.com/office/drawing/2010/main">
      <mc:Choice Requires="a14">
        <xdr:graphicFrame macro="">
          <xdr:nvGraphicFramePr>
            <xdr:cNvPr id="32" name="Year 2">
              <a:extLst>
                <a:ext uri="{FF2B5EF4-FFF2-40B4-BE49-F238E27FC236}">
                  <a16:creationId xmlns:a16="http://schemas.microsoft.com/office/drawing/2014/main" id="{6AC87738-2BE1-394B-85E9-B7A72837D99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5057" y="2087471"/>
              <a:ext cx="2204253" cy="32114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463637</xdr:colOff>
      <xdr:row>4</xdr:row>
      <xdr:rowOff>60878</xdr:rowOff>
    </xdr:from>
    <xdr:to>
      <xdr:col>6</xdr:col>
      <xdr:colOff>148016</xdr:colOff>
      <xdr:row>8</xdr:row>
      <xdr:rowOff>146305</xdr:rowOff>
    </xdr:to>
    <xdr:sp macro="" textlink="KPIs!C44">
      <xdr:nvSpPr>
        <xdr:cNvPr id="8" name="TextBox 7">
          <a:extLst>
            <a:ext uri="{FF2B5EF4-FFF2-40B4-BE49-F238E27FC236}">
              <a16:creationId xmlns:a16="http://schemas.microsoft.com/office/drawing/2014/main" id="{7E13C830-1EE0-F798-DC8D-224415B8C29A}"/>
            </a:ext>
          </a:extLst>
        </xdr:cNvPr>
        <xdr:cNvSpPr txBox="1"/>
      </xdr:nvSpPr>
      <xdr:spPr>
        <a:xfrm>
          <a:off x="3774199" y="802900"/>
          <a:ext cx="1339660" cy="82745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600" b="1" i="0" u="none" strike="noStrike">
              <a:solidFill>
                <a:srgbClr val="FF0000"/>
              </a:solidFill>
              <a:latin typeface="Aharoni" panose="02010803020104030203" pitchFamily="2" charset="-79"/>
              <a:cs typeface="Aharoni" panose="02010803020104030203" pitchFamily="2" charset="-79"/>
            </a:rPr>
            <a:t>Revenue</a:t>
          </a:r>
        </a:p>
        <a:p>
          <a:pPr algn="ctr"/>
          <a:fld id="{6D9B3DAC-351E-214A-9356-2E121A694964}" type="TxLink">
            <a:rPr lang="en-US" sz="1600" b="1" i="0" u="none" strike="noStrike">
              <a:solidFill>
                <a:srgbClr val="FF0000"/>
              </a:solidFill>
              <a:latin typeface="Aharoni" panose="02010803020104030203" pitchFamily="2" charset="-79"/>
              <a:cs typeface="Aharoni" panose="02010803020104030203" pitchFamily="2" charset="-79"/>
            </a:rPr>
            <a:pPr algn="ctr"/>
            <a:t>1504330.09</a:t>
          </a:fld>
          <a:endParaRPr lang="en-GB" sz="1600" b="1">
            <a:solidFill>
              <a:srgbClr val="FF0000"/>
            </a:solidFill>
            <a:latin typeface="Aharoni" panose="02010803020104030203" pitchFamily="2" charset="-79"/>
            <a:cs typeface="Aharoni" panose="02010803020104030203" pitchFamily="2" charset="-79"/>
          </a:endParaRPr>
        </a:p>
      </xdr:txBody>
    </xdr:sp>
    <xdr:clientData/>
  </xdr:twoCellAnchor>
  <xdr:twoCellAnchor>
    <xdr:from>
      <xdr:col>4</xdr:col>
      <xdr:colOff>458403</xdr:colOff>
      <xdr:row>15</xdr:row>
      <xdr:rowOff>82663</xdr:rowOff>
    </xdr:from>
    <xdr:to>
      <xdr:col>6</xdr:col>
      <xdr:colOff>247989</xdr:colOff>
      <xdr:row>18</xdr:row>
      <xdr:rowOff>172839</xdr:rowOff>
    </xdr:to>
    <xdr:sp macro="" textlink="KPIs!F44">
      <xdr:nvSpPr>
        <xdr:cNvPr id="17" name="TextBox 16">
          <a:extLst>
            <a:ext uri="{FF2B5EF4-FFF2-40B4-BE49-F238E27FC236}">
              <a16:creationId xmlns:a16="http://schemas.microsoft.com/office/drawing/2014/main" id="{A70B5223-E3BC-B2C2-C6C7-C77533E0A905}"/>
            </a:ext>
          </a:extLst>
        </xdr:cNvPr>
        <xdr:cNvSpPr txBox="1"/>
      </xdr:nvSpPr>
      <xdr:spPr>
        <a:xfrm>
          <a:off x="3764912" y="2900710"/>
          <a:ext cx="1442840" cy="6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FF0000"/>
              </a:solidFill>
              <a:latin typeface="Aharoni" panose="02010803020104030203" pitchFamily="2" charset="-79"/>
              <a:cs typeface="Aharoni" panose="02010803020104030203" pitchFamily="2" charset="-79"/>
            </a:rPr>
            <a:t>Net</a:t>
          </a:r>
          <a:r>
            <a:rPr lang="en-US" sz="1600" b="1" i="0" u="none" strike="noStrike" baseline="0">
              <a:solidFill>
                <a:srgbClr val="FF0000"/>
              </a:solidFill>
              <a:latin typeface="Aharoni" panose="02010803020104030203" pitchFamily="2" charset="-79"/>
              <a:cs typeface="Aharoni" panose="02010803020104030203" pitchFamily="2" charset="-79"/>
            </a:rPr>
            <a:t> Profit</a:t>
          </a:r>
        </a:p>
        <a:p>
          <a:pPr algn="ctr"/>
          <a:fld id="{71A65012-CE4E-BD47-A3F3-8CA48F47AD0E}" type="TxLink">
            <a:rPr lang="en-US" sz="1600" b="1" i="0" u="none" strike="noStrike">
              <a:solidFill>
                <a:srgbClr val="FF0000"/>
              </a:solidFill>
              <a:latin typeface="Aharoni" panose="02010803020104030203" pitchFamily="2" charset="-79"/>
              <a:cs typeface="Aharoni" panose="02010803020104030203" pitchFamily="2" charset="-79"/>
            </a:rPr>
            <a:pPr algn="ctr"/>
            <a:t>346915.57</a:t>
          </a:fld>
          <a:endParaRPr lang="en-GB" sz="1600" b="1">
            <a:solidFill>
              <a:srgbClr val="FF0000"/>
            </a:solidFill>
            <a:latin typeface="Aharoni" panose="02010803020104030203" pitchFamily="2" charset="-79"/>
            <a:cs typeface="Aharoni" panose="02010803020104030203" pitchFamily="2" charset="-79"/>
          </a:endParaRPr>
        </a:p>
      </xdr:txBody>
    </xdr:sp>
    <xdr:clientData/>
  </xdr:twoCellAnchor>
  <xdr:twoCellAnchor>
    <xdr:from>
      <xdr:col>4</xdr:col>
      <xdr:colOff>511006</xdr:colOff>
      <xdr:row>26</xdr:row>
      <xdr:rowOff>60119</xdr:rowOff>
    </xdr:from>
    <xdr:to>
      <xdr:col>6</xdr:col>
      <xdr:colOff>82663</xdr:colOff>
      <xdr:row>29</xdr:row>
      <xdr:rowOff>157811</xdr:rowOff>
    </xdr:to>
    <xdr:sp macro="" textlink="KPIs!I44">
      <xdr:nvSpPr>
        <xdr:cNvPr id="18" name="TextBox 17">
          <a:extLst>
            <a:ext uri="{FF2B5EF4-FFF2-40B4-BE49-F238E27FC236}">
              <a16:creationId xmlns:a16="http://schemas.microsoft.com/office/drawing/2014/main" id="{3A0F4C45-9354-FA4F-349F-6A71E2A7F6C2}"/>
            </a:ext>
          </a:extLst>
        </xdr:cNvPr>
        <xdr:cNvSpPr txBox="1"/>
      </xdr:nvSpPr>
      <xdr:spPr>
        <a:xfrm>
          <a:off x="3817515" y="4944734"/>
          <a:ext cx="1224911" cy="661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FF0000"/>
              </a:solidFill>
              <a:latin typeface="Aharoni" panose="02010803020104030203" pitchFamily="2" charset="-79"/>
              <a:cs typeface="Aharoni" panose="02010803020104030203" pitchFamily="2" charset="-79"/>
            </a:rPr>
            <a:t>ROE</a:t>
          </a:r>
        </a:p>
        <a:p>
          <a:pPr algn="ctr"/>
          <a:fld id="{4F7B5FE9-021C-F847-8FDE-5C3B505E5BBC}" type="TxLink">
            <a:rPr lang="en-US" sz="1600" b="1" i="0" u="none" strike="noStrike">
              <a:solidFill>
                <a:srgbClr val="FF0000"/>
              </a:solidFill>
              <a:latin typeface="Aharoni" panose="02010803020104030203" pitchFamily="2" charset="-79"/>
              <a:cs typeface="Aharoni" panose="02010803020104030203" pitchFamily="2" charset="-79"/>
            </a:rPr>
            <a:pPr algn="ctr"/>
            <a:t>1.54803469</a:t>
          </a:fld>
          <a:endParaRPr lang="en-GB" sz="1600" b="1">
            <a:solidFill>
              <a:srgbClr val="FF0000"/>
            </a:solidFill>
            <a:latin typeface="Aharoni" panose="02010803020104030203" pitchFamily="2" charset="-79"/>
            <a:cs typeface="Aharoni" panose="02010803020104030203" pitchFamily="2" charset="-79"/>
          </a:endParaRPr>
        </a:p>
      </xdr:txBody>
    </xdr:sp>
    <xdr:clientData/>
  </xdr:twoCellAnchor>
  <xdr:twoCellAnchor>
    <xdr:from>
      <xdr:col>4</xdr:col>
      <xdr:colOff>435858</xdr:colOff>
      <xdr:row>37</xdr:row>
      <xdr:rowOff>142781</xdr:rowOff>
    </xdr:from>
    <xdr:to>
      <xdr:col>6</xdr:col>
      <xdr:colOff>165326</xdr:colOff>
      <xdr:row>41</xdr:row>
      <xdr:rowOff>105207</xdr:rowOff>
    </xdr:to>
    <xdr:sp macro="" textlink="KPIs!L44">
      <xdr:nvSpPr>
        <xdr:cNvPr id="19" name="TextBox 18">
          <a:extLst>
            <a:ext uri="{FF2B5EF4-FFF2-40B4-BE49-F238E27FC236}">
              <a16:creationId xmlns:a16="http://schemas.microsoft.com/office/drawing/2014/main" id="{601E36CB-F867-4374-413A-7E4859A79A79}"/>
            </a:ext>
          </a:extLst>
        </xdr:cNvPr>
        <xdr:cNvSpPr txBox="1"/>
      </xdr:nvSpPr>
      <xdr:spPr>
        <a:xfrm>
          <a:off x="3742367" y="7093964"/>
          <a:ext cx="1382722" cy="7139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solidFill>
              <a:latin typeface="Aharoni" panose="02010803020104030203" pitchFamily="2" charset="-79"/>
              <a:cs typeface="Aharoni" panose="02010803020104030203" pitchFamily="2" charset="-79"/>
            </a:rPr>
            <a:t>Profit </a:t>
          </a:r>
          <a:r>
            <a:rPr lang="en-US" sz="1600" b="1" i="0" u="none" strike="noStrike" baseline="0">
              <a:solidFill>
                <a:schemeClr val="accent2"/>
              </a:solidFill>
              <a:latin typeface="Aharoni" panose="02010803020104030203" pitchFamily="2" charset="-79"/>
              <a:cs typeface="Aharoni" panose="02010803020104030203" pitchFamily="2" charset="-79"/>
            </a:rPr>
            <a:t>Margin</a:t>
          </a:r>
        </a:p>
        <a:p>
          <a:pPr algn="ctr"/>
          <a:fld id="{3898EFA0-C61D-D845-AB5E-7B35DE8459B5}" type="TxLink">
            <a:rPr lang="en-US" sz="1600" b="1" i="0" u="none" strike="noStrike">
              <a:solidFill>
                <a:schemeClr val="accent2"/>
              </a:solidFill>
              <a:latin typeface="Aharoni" panose="02010803020104030203" pitchFamily="2" charset="-79"/>
              <a:cs typeface="Aharoni" panose="02010803020104030203" pitchFamily="2" charset="-79"/>
            </a:rPr>
            <a:pPr algn="ctr"/>
            <a:t>2.296910033</a:t>
          </a:fld>
          <a:endParaRPr lang="en-GB" sz="1600" b="1">
            <a:solidFill>
              <a:schemeClr val="accent2"/>
            </a:solidFill>
            <a:latin typeface="Aharoni" panose="02010803020104030203" pitchFamily="2" charset="-79"/>
            <a:cs typeface="Aharoni" panose="02010803020104030203" pitchFamily="2" charset="-79"/>
          </a:endParaRPr>
        </a:p>
      </xdr:txBody>
    </xdr:sp>
    <xdr:clientData/>
  </xdr:twoCellAnchor>
  <xdr:twoCellAnchor>
    <xdr:from>
      <xdr:col>7</xdr:col>
      <xdr:colOff>114158</xdr:colOff>
      <xdr:row>6</xdr:row>
      <xdr:rowOff>42808</xdr:rowOff>
    </xdr:from>
    <xdr:to>
      <xdr:col>12</xdr:col>
      <xdr:colOff>547956</xdr:colOff>
      <xdr:row>21</xdr:row>
      <xdr:rowOff>3424</xdr:rowOff>
    </xdr:to>
    <xdr:graphicFrame macro="">
      <xdr:nvGraphicFramePr>
        <xdr:cNvPr id="20" name="Chart 19">
          <a:extLst>
            <a:ext uri="{FF2B5EF4-FFF2-40B4-BE49-F238E27FC236}">
              <a16:creationId xmlns:a16="http://schemas.microsoft.com/office/drawing/2014/main" id="{4827083F-DF15-2848-A1B2-7FD519B58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342472</xdr:colOff>
      <xdr:row>6</xdr:row>
      <xdr:rowOff>28539</xdr:rowOff>
    </xdr:from>
    <xdr:to>
      <xdr:col>18</xdr:col>
      <xdr:colOff>776270</xdr:colOff>
      <xdr:row>20</xdr:row>
      <xdr:rowOff>174661</xdr:rowOff>
    </xdr:to>
    <xdr:graphicFrame macro="">
      <xdr:nvGraphicFramePr>
        <xdr:cNvPr id="21" name="Chart 20">
          <a:extLst>
            <a:ext uri="{FF2B5EF4-FFF2-40B4-BE49-F238E27FC236}">
              <a16:creationId xmlns:a16="http://schemas.microsoft.com/office/drawing/2014/main" id="{F25F6C4B-E325-9046-88B8-85015C109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99887</xdr:colOff>
      <xdr:row>26</xdr:row>
      <xdr:rowOff>114157</xdr:rowOff>
    </xdr:from>
    <xdr:to>
      <xdr:col>12</xdr:col>
      <xdr:colOff>533685</xdr:colOff>
      <xdr:row>41</xdr:row>
      <xdr:rowOff>74773</xdr:rowOff>
    </xdr:to>
    <xdr:graphicFrame macro="">
      <xdr:nvGraphicFramePr>
        <xdr:cNvPr id="22" name="Chart 21">
          <a:extLst>
            <a:ext uri="{FF2B5EF4-FFF2-40B4-BE49-F238E27FC236}">
              <a16:creationId xmlns:a16="http://schemas.microsoft.com/office/drawing/2014/main" id="{AEEE012E-FE7D-B64A-B82D-E5955DD29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413820</xdr:colOff>
      <xdr:row>26</xdr:row>
      <xdr:rowOff>57079</xdr:rowOff>
    </xdr:from>
    <xdr:to>
      <xdr:col>19</xdr:col>
      <xdr:colOff>19977</xdr:colOff>
      <xdr:row>41</xdr:row>
      <xdr:rowOff>17695</xdr:rowOff>
    </xdr:to>
    <xdr:graphicFrame macro="">
      <xdr:nvGraphicFramePr>
        <xdr:cNvPr id="23" name="Chart 22">
          <a:extLst>
            <a:ext uri="{FF2B5EF4-FFF2-40B4-BE49-F238E27FC236}">
              <a16:creationId xmlns:a16="http://schemas.microsoft.com/office/drawing/2014/main" id="{18FEA060-A16C-3F43-ACC0-1110DE1EA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727753</xdr:colOff>
      <xdr:row>33</xdr:row>
      <xdr:rowOff>71350</xdr:rowOff>
    </xdr:from>
    <xdr:to>
      <xdr:col>3</xdr:col>
      <xdr:colOff>585057</xdr:colOff>
      <xdr:row>37</xdr:row>
      <xdr:rowOff>1</xdr:rowOff>
    </xdr:to>
    <xdr:sp macro="" textlink="">
      <xdr:nvSpPr>
        <xdr:cNvPr id="25" name="TextBox 24">
          <a:extLst>
            <a:ext uri="{FF2B5EF4-FFF2-40B4-BE49-F238E27FC236}">
              <a16:creationId xmlns:a16="http://schemas.microsoft.com/office/drawing/2014/main" id="{A60819C6-7DFE-3488-3427-8D5DCB7AA4CD}"/>
            </a:ext>
          </a:extLst>
        </xdr:cNvPr>
        <xdr:cNvSpPr txBox="1"/>
      </xdr:nvSpPr>
      <xdr:spPr>
        <a:xfrm>
          <a:off x="727753" y="6193035"/>
          <a:ext cx="2340225" cy="670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1">
              <a:solidFill>
                <a:schemeClr val="accent2"/>
              </a:solidFill>
              <a:latin typeface="Aharoni" panose="02010803020104030203" pitchFamily="2" charset="-79"/>
              <a:cs typeface="Aharoni" panose="02010803020104030203" pitchFamily="2" charset="-79"/>
            </a:rPr>
            <a:t>Recommendation:</a:t>
          </a:r>
        </a:p>
        <a:p>
          <a:r>
            <a:rPr lang="en-GB" sz="1800" b="1" i="1">
              <a:solidFill>
                <a:schemeClr val="accent2"/>
              </a:solidFill>
              <a:latin typeface="Aharoni" panose="02010803020104030203" pitchFamily="2" charset="-79"/>
              <a:cs typeface="Aharoni" panose="02010803020104030203" pitchFamily="2" charset="-79"/>
            </a:rPr>
            <a:t>Buy</a:t>
          </a:r>
          <a:r>
            <a:rPr lang="en-GB" sz="1800" b="1" i="1" baseline="0">
              <a:solidFill>
                <a:schemeClr val="accent2"/>
              </a:solidFill>
              <a:latin typeface="Aharoni" panose="02010803020104030203" pitchFamily="2" charset="-79"/>
              <a:cs typeface="Aharoni" panose="02010803020104030203" pitchFamily="2" charset="-79"/>
            </a:rPr>
            <a:t> the security </a:t>
          </a:r>
          <a:endParaRPr lang="en-GB" sz="1800" b="1" i="1">
            <a:solidFill>
              <a:schemeClr val="accent2"/>
            </a:solidFill>
            <a:latin typeface="Aharoni" panose="02010803020104030203" pitchFamily="2" charset="-79"/>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shi Mathur" refreshedDate="46113.960690972221" createdVersion="8" refreshedVersion="8" minRefreshableVersion="3" recordCount="10" xr:uid="{90CE1526-FDD2-3149-A68D-55C91985E04E}">
  <cacheSource type="worksheet">
    <worksheetSource ref="J3:O13" sheet="KPIs"/>
  </cacheSource>
  <cacheFields count="9">
    <cacheField name="Year" numFmtId="17">
      <sharedItems containsSemiMixedTypes="0" containsNonDate="0" containsDate="1" containsString="0" minDate="2016-03-31T00:00:00" maxDate="2025-04-01T00:00:00" count="10">
        <d v="2016-03-31T00:00:00"/>
        <d v="2017-03-31T00:00:00"/>
        <d v="2018-03-31T00:00:00"/>
        <d v="2019-03-31T00:00:00"/>
        <d v="2020-03-31T00:00:00"/>
        <d v="2021-03-31T00:00:00"/>
        <d v="2022-03-31T00:00:00"/>
        <d v="2023-03-31T00:00:00"/>
        <d v="2024-03-31T00:00:00"/>
        <d v="2025-03-31T00:00:00"/>
      </sharedItems>
      <fieldGroup par="8"/>
    </cacheField>
    <cacheField name="Net profit margin" numFmtId="9">
      <sharedItems containsSemiMixedTypes="0" containsString="0" containsNumber="1" minValue="0.20267596303827834" maxValue="0.27993052045438011"/>
    </cacheField>
    <cacheField name="ROE" numFmtId="9">
      <sharedItems containsSemiMixedTypes="0" containsString="0" containsNumber="1" minValue="0.13567207642915086" maxValue="0.17228288656364052"/>
    </cacheField>
    <cacheField name="Debt/equity" numFmtId="0">
      <sharedItems containsSemiMixedTypes="0" containsString="0" containsNumber="1" minValue="7.4127242282394281" maxValue="9.2580075966167676"/>
    </cacheField>
    <cacheField name="Revenue" numFmtId="164">
      <sharedItems containsSemiMixedTypes="0" containsString="0" containsNumber="1" minValue="63161.56" maxValue="336367.43"/>
    </cacheField>
    <cacheField name="Profit" numFmtId="0">
      <sharedItems containsSemiMixedTypes="0" containsString="0" containsNumber="1" minValue="12801.33" maxValue="70792.25"/>
    </cacheField>
    <cacheField name="Months (Year)" numFmtId="0" databaseField="0">
      <fieldGroup base="0">
        <rangePr groupBy="months" startDate="2016-03-31T00:00:00" endDate="2025-04-01T00:00:00"/>
        <groupItems count="14">
          <s v="&lt;31/03/16"/>
          <s v="Jan"/>
          <s v="Feb"/>
          <s v="Mar"/>
          <s v="Apr"/>
          <s v="May"/>
          <s v="Jun"/>
          <s v="Jul"/>
          <s v="Aug"/>
          <s v="Sep"/>
          <s v="Oct"/>
          <s v="Nov"/>
          <s v="Dec"/>
          <s v="&gt;01/04/25"/>
        </groupItems>
      </fieldGroup>
    </cacheField>
    <cacheField name="Quarters (Year)" numFmtId="0" databaseField="0">
      <fieldGroup base="0">
        <rangePr groupBy="quarters" startDate="2016-03-31T00:00:00" endDate="2025-04-01T00:00:00"/>
        <groupItems count="6">
          <s v="&lt;31/03/16"/>
          <s v="Qtr1"/>
          <s v="Qtr2"/>
          <s v="Qtr3"/>
          <s v="Qtr4"/>
          <s v="&gt;01/04/25"/>
        </groupItems>
      </fieldGroup>
    </cacheField>
    <cacheField name="Years (Year)" numFmtId="0" databaseField="0">
      <fieldGroup base="0">
        <rangePr groupBy="years" startDate="2016-03-31T00:00:00" endDate="2025-04-01T00:00:00"/>
        <groupItems count="12">
          <s v="&lt;31/03/16"/>
          <s v="2016"/>
          <s v="2017"/>
          <s v="2018"/>
          <s v="2019"/>
          <s v="2020"/>
          <s v="2021"/>
          <s v="2022"/>
          <s v="2023"/>
          <s v="2024"/>
          <s v="2025"/>
          <s v="&gt;01/04/25"/>
        </groupItems>
      </fieldGroup>
    </cacheField>
  </cacheFields>
  <extLst>
    <ext xmlns:x14="http://schemas.microsoft.com/office/spreadsheetml/2009/9/main" uri="{725AE2AE-9491-48be-B2B4-4EB974FC3084}">
      <x14:pivotCacheDefinition pivotCacheId="1900536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0.20267596303827834"/>
    <n v="0.17228288656364052"/>
    <n v="9.2580075966167676"/>
    <n v="63161.56"/>
    <n v="12801.33"/>
  </r>
  <r>
    <x v="1"/>
    <n v="0.20854645096616889"/>
    <n v="0.16646500123374144"/>
    <n v="8.7211652837687019"/>
    <n v="73271.350000000006"/>
    <n v="15280.48"/>
  </r>
  <r>
    <x v="2"/>
    <n v="0.2170300009942801"/>
    <n v="0.16888838442421941"/>
    <n v="9.065647145191754"/>
    <n v="85287.84"/>
    <n v="18510.02"/>
  </r>
  <r>
    <x v="3"/>
    <n v="0.21236470949139383"/>
    <n v="0.14532467909386093"/>
    <n v="7.4127242282394281"/>
    <n v="105160.74"/>
    <n v="22332.43"/>
  </r>
  <r>
    <x v="4"/>
    <n v="0.22304696262659357"/>
    <n v="0.15453702286663359"/>
    <n v="7.9637218938605301"/>
    <n v="122189.29"/>
    <n v="27253.95"/>
  </r>
  <r>
    <x v="5"/>
    <n v="0.24762828231911657"/>
    <n v="0.15172385820363912"/>
    <n v="7.5768318296090316"/>
    <n v="128552.4"/>
    <n v="31833.21"/>
  </r>
  <r>
    <x v="6"/>
    <n v="0.27993052045438011"/>
    <n v="0.15385654498268422"/>
    <n v="7.5835409168386843"/>
    <n v="135936.41"/>
    <n v="38052.75"/>
  </r>
  <r>
    <x v="7"/>
    <n v="0.26937639253651674"/>
    <n v="0.1589189721442453"/>
    <n v="7.7425867069747349"/>
    <n v="170754.05"/>
    <n v="45997.11"/>
  </r>
  <r>
    <x v="8"/>
    <n v="0.2258496785922264"/>
    <n v="0.1403652645377006"/>
    <n v="7.8304912463484238"/>
    <n v="283649.02"/>
    <n v="64062.04"/>
  </r>
  <r>
    <x v="9"/>
    <n v="0.21046107228633879"/>
    <n v="0.13567207642915086"/>
    <n v="7.4173996523769876"/>
    <n v="336367.43"/>
    <n v="7079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3D117-D370-5D4C-905F-B9C56FCC38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1:F42" firstHeaderRow="1" firstDataRow="1" firstDataCol="1"/>
  <pivotFields count="9">
    <pivotField axis="axisRow" numFmtId="17" showAll="0">
      <items count="11">
        <item x="0"/>
        <item x="1"/>
        <item x="2"/>
        <item x="3"/>
        <item x="4"/>
        <item x="5"/>
        <item x="6"/>
        <item x="7"/>
        <item x="8"/>
        <item x="9"/>
        <item t="default"/>
      </items>
    </pivotField>
    <pivotField numFmtId="9" showAll="0"/>
    <pivotField numFmtId="9" showAll="0"/>
    <pivotField showAll="0"/>
    <pivotField numFmtId="164"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sd="0" x="0"/>
        <item sd="0" x="1"/>
        <item sd="0" x="2"/>
        <item sd="0" x="3"/>
        <item sd="0" x="4"/>
        <item sd="0" x="5"/>
        <item sd="0" x="6"/>
        <item sd="0" x="7"/>
        <item sd="0" x="8"/>
        <item sd="0" x="9"/>
        <item sd="0" x="10"/>
        <item sd="0" x="11"/>
      </items>
    </pivotField>
  </pivotFields>
  <rowFields count="4">
    <field x="8"/>
    <field x="7"/>
    <field x="6"/>
    <field x="0"/>
  </rowFields>
  <rowItems count="11">
    <i>
      <x v="1"/>
    </i>
    <i>
      <x v="2"/>
    </i>
    <i>
      <x v="3"/>
    </i>
    <i>
      <x v="4"/>
    </i>
    <i>
      <x v="5"/>
    </i>
    <i>
      <x v="6"/>
    </i>
    <i>
      <x v="7"/>
    </i>
    <i>
      <x v="8"/>
    </i>
    <i>
      <x v="9"/>
    </i>
    <i>
      <x v="10"/>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9D3C9-4004-9444-A8A7-5316F16A87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1:C42" firstHeaderRow="1" firstDataRow="1" firstDataCol="1"/>
  <pivotFields count="9">
    <pivotField axis="axisRow" numFmtId="17" showAll="0">
      <items count="11">
        <item x="0"/>
        <item x="1"/>
        <item x="2"/>
        <item x="3"/>
        <item x="4"/>
        <item x="5"/>
        <item x="6"/>
        <item x="7"/>
        <item x="8"/>
        <item x="9"/>
        <item t="default"/>
      </items>
    </pivotField>
    <pivotField numFmtId="9" showAll="0"/>
    <pivotField numFmtId="9" showAll="0"/>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8"/>
    <field x="7"/>
    <field x="6"/>
    <field x="0"/>
  </rowFields>
  <rowItems count="11">
    <i>
      <x v="1"/>
    </i>
    <i>
      <x v="2"/>
    </i>
    <i>
      <x v="3"/>
    </i>
    <i>
      <x v="4"/>
    </i>
    <i>
      <x v="5"/>
    </i>
    <i>
      <x v="6"/>
    </i>
    <i>
      <x v="7"/>
    </i>
    <i>
      <x v="8"/>
    </i>
    <i>
      <x v="9"/>
    </i>
    <i>
      <x v="10"/>
    </i>
    <i t="grand">
      <x/>
    </i>
  </rowItems>
  <colItems count="1">
    <i/>
  </colItems>
  <dataFields count="1">
    <dataField name="Sum of Revenue" fld="4"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E035F3-BA9A-C14E-9C34-AE56040C22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1:L42" firstHeaderRow="1" firstDataRow="1" firstDataCol="1"/>
  <pivotFields count="9">
    <pivotField axis="axisRow" numFmtId="17" showAll="0">
      <items count="11">
        <item x="0"/>
        <item x="1"/>
        <item x="2"/>
        <item x="3"/>
        <item x="4"/>
        <item x="5"/>
        <item x="6"/>
        <item x="7"/>
        <item x="8"/>
        <item x="9"/>
        <item t="default"/>
      </items>
    </pivotField>
    <pivotField dataField="1" numFmtId="9" showAll="0"/>
    <pivotField numFmtId="9" showAll="0"/>
    <pivotField showAll="0"/>
    <pivotField numFmtId="164"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sd="0" x="0"/>
        <item sd="0" x="1"/>
        <item sd="0" x="2"/>
        <item sd="0" x="3"/>
        <item sd="0" x="4"/>
        <item sd="0" x="5"/>
        <item sd="0" x="6"/>
        <item sd="0" x="7"/>
        <item sd="0" x="8"/>
        <item sd="0" x="9"/>
        <item sd="0" x="10"/>
        <item sd="0" x="11"/>
      </items>
    </pivotField>
  </pivotFields>
  <rowFields count="4">
    <field x="8"/>
    <field x="7"/>
    <field x="6"/>
    <field x="0"/>
  </rowFields>
  <rowItems count="11">
    <i>
      <x v="1"/>
    </i>
    <i>
      <x v="2"/>
    </i>
    <i>
      <x v="3"/>
    </i>
    <i>
      <x v="4"/>
    </i>
    <i>
      <x v="5"/>
    </i>
    <i>
      <x v="6"/>
    </i>
    <i>
      <x v="7"/>
    </i>
    <i>
      <x v="8"/>
    </i>
    <i>
      <x v="9"/>
    </i>
    <i>
      <x v="10"/>
    </i>
    <i t="grand">
      <x/>
    </i>
  </rowItems>
  <colItems count="1">
    <i/>
  </colItems>
  <dataFields count="1">
    <dataField name="Sum of Net profit margin" fld="1" baseField="0" baseItem="0" numFmtId="9"/>
  </dataFields>
  <chartFormats count="2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4"/>
          </reference>
        </references>
      </pivotArea>
    </chartFormat>
    <chartFormat chart="2" format="6">
      <pivotArea type="data" outline="0" fieldPosition="0">
        <references count="2">
          <reference field="4294967294" count="1" selected="0">
            <x v="0"/>
          </reference>
          <reference field="8" count="1" selected="0">
            <x v="5"/>
          </reference>
        </references>
      </pivotArea>
    </chartFormat>
    <chartFormat chart="2" format="7">
      <pivotArea type="data" outline="0" fieldPosition="0">
        <references count="2">
          <reference field="4294967294" count="1" selected="0">
            <x v="0"/>
          </reference>
          <reference field="8" count="1" selected="0">
            <x v="6"/>
          </reference>
        </references>
      </pivotArea>
    </chartFormat>
    <chartFormat chart="2" format="8">
      <pivotArea type="data" outline="0" fieldPosition="0">
        <references count="2">
          <reference field="4294967294" count="1" selected="0">
            <x v="0"/>
          </reference>
          <reference field="8" count="1" selected="0">
            <x v="7"/>
          </reference>
        </references>
      </pivotArea>
    </chartFormat>
    <chartFormat chart="2" format="9">
      <pivotArea type="data" outline="0" fieldPosition="0">
        <references count="2">
          <reference field="4294967294" count="1" selected="0">
            <x v="0"/>
          </reference>
          <reference field="8" count="1" selected="0">
            <x v="8"/>
          </reference>
        </references>
      </pivotArea>
    </chartFormat>
    <chartFormat chart="2" format="10">
      <pivotArea type="data" outline="0" fieldPosition="0">
        <references count="2">
          <reference field="4294967294" count="1" selected="0">
            <x v="0"/>
          </reference>
          <reference field="8" count="1" selected="0">
            <x v="9"/>
          </reference>
        </references>
      </pivotArea>
    </chartFormat>
    <chartFormat chart="2" format="11">
      <pivotArea type="data" outline="0" fieldPosition="0">
        <references count="2">
          <reference field="4294967294" count="1" selected="0">
            <x v="0"/>
          </reference>
          <reference field="8" count="1" selected="0">
            <x v="1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1"/>
          </reference>
        </references>
      </pivotArea>
    </chartFormat>
    <chartFormat chart="3" format="14">
      <pivotArea type="data" outline="0" fieldPosition="0">
        <references count="2">
          <reference field="4294967294" count="1" selected="0">
            <x v="0"/>
          </reference>
          <reference field="8" count="1" selected="0">
            <x v="2"/>
          </reference>
        </references>
      </pivotArea>
    </chartFormat>
    <chartFormat chart="3" format="15">
      <pivotArea type="data" outline="0" fieldPosition="0">
        <references count="2">
          <reference field="4294967294" count="1" selected="0">
            <x v="0"/>
          </reference>
          <reference field="8" count="1" selected="0">
            <x v="3"/>
          </reference>
        </references>
      </pivotArea>
    </chartFormat>
    <chartFormat chart="3" format="16">
      <pivotArea type="data" outline="0" fieldPosition="0">
        <references count="2">
          <reference field="4294967294" count="1" selected="0">
            <x v="0"/>
          </reference>
          <reference field="8" count="1" selected="0">
            <x v="4"/>
          </reference>
        </references>
      </pivotArea>
    </chartFormat>
    <chartFormat chart="3" format="17">
      <pivotArea type="data" outline="0" fieldPosition="0">
        <references count="2">
          <reference field="4294967294" count="1" selected="0">
            <x v="0"/>
          </reference>
          <reference field="8" count="1" selected="0">
            <x v="5"/>
          </reference>
        </references>
      </pivotArea>
    </chartFormat>
    <chartFormat chart="3" format="18">
      <pivotArea type="data" outline="0" fieldPosition="0">
        <references count="2">
          <reference field="4294967294" count="1" selected="0">
            <x v="0"/>
          </reference>
          <reference field="8" count="1" selected="0">
            <x v="6"/>
          </reference>
        </references>
      </pivotArea>
    </chartFormat>
    <chartFormat chart="3" format="19">
      <pivotArea type="data" outline="0" fieldPosition="0">
        <references count="2">
          <reference field="4294967294" count="1" selected="0">
            <x v="0"/>
          </reference>
          <reference field="8" count="1" selected="0">
            <x v="7"/>
          </reference>
        </references>
      </pivotArea>
    </chartFormat>
    <chartFormat chart="3" format="20">
      <pivotArea type="data" outline="0" fieldPosition="0">
        <references count="2">
          <reference field="4294967294" count="1" selected="0">
            <x v="0"/>
          </reference>
          <reference field="8" count="1" selected="0">
            <x v="8"/>
          </reference>
        </references>
      </pivotArea>
    </chartFormat>
    <chartFormat chart="3" format="21">
      <pivotArea type="data" outline="0" fieldPosition="0">
        <references count="2">
          <reference field="4294967294" count="1" selected="0">
            <x v="0"/>
          </reference>
          <reference field="8" count="1" selected="0">
            <x v="9"/>
          </reference>
        </references>
      </pivotArea>
    </chartFormat>
    <chartFormat chart="3" format="22">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C5A4EA-36EE-1D42-8D44-2A41826EF9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1:I42" firstHeaderRow="1" firstDataRow="1" firstDataCol="1"/>
  <pivotFields count="9">
    <pivotField axis="axisRow" numFmtId="17" showAll="0">
      <items count="11">
        <item x="0"/>
        <item x="1"/>
        <item x="2"/>
        <item x="3"/>
        <item x="4"/>
        <item x="5"/>
        <item x="6"/>
        <item x="7"/>
        <item x="8"/>
        <item x="9"/>
        <item t="default"/>
      </items>
    </pivotField>
    <pivotField numFmtId="9" showAll="0"/>
    <pivotField dataField="1" numFmtId="9" showAll="0"/>
    <pivotField showAll="0"/>
    <pivotField numFmtId="164"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sd="0" x="0"/>
        <item sd="0" x="1"/>
        <item sd="0" x="2"/>
        <item sd="0" x="3"/>
        <item sd="0" x="4"/>
        <item sd="0" x="5"/>
        <item sd="0" x="6"/>
        <item sd="0" x="7"/>
        <item sd="0" x="8"/>
        <item sd="0" x="9"/>
        <item sd="0" x="10"/>
        <item sd="0" x="11"/>
      </items>
    </pivotField>
  </pivotFields>
  <rowFields count="4">
    <field x="8"/>
    <field x="7"/>
    <field x="6"/>
    <field x="0"/>
  </rowFields>
  <rowItems count="11">
    <i>
      <x v="1"/>
    </i>
    <i>
      <x v="2"/>
    </i>
    <i>
      <x v="3"/>
    </i>
    <i>
      <x v="4"/>
    </i>
    <i>
      <x v="5"/>
    </i>
    <i>
      <x v="6"/>
    </i>
    <i>
      <x v="7"/>
    </i>
    <i>
      <x v="8"/>
    </i>
    <i>
      <x v="9"/>
    </i>
    <i>
      <x v="10"/>
    </i>
    <i t="grand">
      <x/>
    </i>
  </rowItems>
  <colItems count="1">
    <i/>
  </colItems>
  <dataFields count="1">
    <dataField name="Sum of ROE" fld="2"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22121BC-1D02-B64F-A8BB-6275296BAE72}" sourceName="Year">
  <pivotTables>
    <pivotTable tabId="7" name="PivotTable8"/>
    <pivotTable tabId="7" name="PivotTable5"/>
    <pivotTable tabId="7" name="PivotTable6"/>
    <pivotTable tabId="7" name="PivotTable7"/>
  </pivotTables>
  <data>
    <tabular pivotCacheId="1900536400">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F7BB31-2853-E247-BCAA-4C65F0E31668}" cache="Slicer_Year1" caption="Yea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1371E2D-5B3B-AD49-B853-C3C0A87BCA21}" cache="Slicer_Year1" caption="Year" style="SlicerStyleOther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G5" activePane="bottomRight" state="frozen"/>
      <selection activeCell="I2" sqref="I2"/>
      <selection pane="topRight" activeCell="I2" sqref="I2"/>
      <selection pane="bottomLeft" activeCell="I2" sqref="I2"/>
      <selection pane="bottomRight" activeCell="M15" sqref="M15"/>
    </sheetView>
  </sheetViews>
  <sheetFormatPr baseColWidth="10" defaultColWidth="8.83203125" defaultRowHeight="15" x14ac:dyDescent="0.2"/>
  <cols>
    <col min="1" max="1" width="20.6640625" customWidth="1"/>
    <col min="2" max="6" width="13.5" customWidth="1"/>
    <col min="7" max="7" width="14.83203125" bestFit="1" customWidth="1"/>
    <col min="8" max="11" width="13.5" customWidth="1"/>
    <col min="12" max="12" width="13.33203125" customWidth="1"/>
    <col min="13" max="14" width="12.1640625" customWidth="1"/>
  </cols>
  <sheetData>
    <row r="1" spans="1:14" s="2" customFormat="1" x14ac:dyDescent="0.2">
      <c r="A1" s="2" t="str">
        <f>'Data Sheet'!B1</f>
        <v>HDFC BANK LTD</v>
      </c>
      <c r="H1" t="str">
        <f>UPDATE</f>
        <v/>
      </c>
      <c r="J1" s="3"/>
      <c r="K1" s="3"/>
      <c r="M1" s="2" t="s">
        <v>1</v>
      </c>
    </row>
    <row r="3" spans="1:14" s="2" customFormat="1" x14ac:dyDescent="0.2">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2">
      <c r="A4" s="2" t="s">
        <v>6</v>
      </c>
      <c r="B4" s="1">
        <f>'Data Sheet'!B17</f>
        <v>63161.56</v>
      </c>
      <c r="C4" s="1">
        <f>'Data Sheet'!C17</f>
        <v>73271.350000000006</v>
      </c>
      <c r="D4" s="1">
        <f>'Data Sheet'!D17</f>
        <v>85287.84</v>
      </c>
      <c r="E4" s="1">
        <f>'Data Sheet'!E17</f>
        <v>105160.74</v>
      </c>
      <c r="F4" s="1">
        <f>'Data Sheet'!F17</f>
        <v>122189.29</v>
      </c>
      <c r="G4" s="1">
        <f>'Data Sheet'!G17</f>
        <v>128552.4</v>
      </c>
      <c r="H4" s="1">
        <f>'Data Sheet'!H17</f>
        <v>135936.41</v>
      </c>
      <c r="I4" s="1">
        <f>'Data Sheet'!I17</f>
        <v>170754.05</v>
      </c>
      <c r="J4" s="1">
        <f>'Data Sheet'!J17</f>
        <v>283649.02</v>
      </c>
      <c r="K4" s="1">
        <f>'Data Sheet'!K17</f>
        <v>336367.43</v>
      </c>
      <c r="L4" s="1">
        <f>SUM(Quarters!H4:K4)</f>
        <v>348211.99</v>
      </c>
      <c r="M4" s="1">
        <f>$K4+M23*K4</f>
        <v>454960.10687606269</v>
      </c>
      <c r="N4" s="1">
        <f>$K4+N23*L4</f>
        <v>401085.37775013107</v>
      </c>
    </row>
    <row r="5" spans="1:14" x14ac:dyDescent="0.2">
      <c r="A5" t="s">
        <v>7</v>
      </c>
      <c r="B5" s="6">
        <f>SUM('Data Sheet'!B18,'Data Sheet'!B20:B24, -1*'Data Sheet'!B19)</f>
        <v>20054.62</v>
      </c>
      <c r="C5" s="6">
        <f>SUM('Data Sheet'!C18,'Data Sheet'!C20:C24, -1*'Data Sheet'!C19)</f>
        <v>23855.69</v>
      </c>
      <c r="D5" s="6">
        <f>SUM('Data Sheet'!D18,'Data Sheet'!D20:D24, -1*'Data Sheet'!D19)</f>
        <v>29532.26</v>
      </c>
      <c r="E5" s="6">
        <f>SUM('Data Sheet'!E18,'Data Sheet'!E20:E24, -1*'Data Sheet'!E19)</f>
        <v>34856.270000000004</v>
      </c>
      <c r="F5" s="6">
        <f>SUM('Data Sheet'!F18,'Data Sheet'!F20:F24, -1*'Data Sheet'!F19)</f>
        <v>45459.210000000006</v>
      </c>
      <c r="G5" s="6">
        <f>SUM('Data Sheet'!G18,'Data Sheet'!G20:G24, -1*'Data Sheet'!G19)</f>
        <v>52456.53</v>
      </c>
      <c r="H5" s="6">
        <f>SUM('Data Sheet'!H18,'Data Sheet'!H20:H24, -1*'Data Sheet'!H19)</f>
        <v>56556.959999999992</v>
      </c>
      <c r="I5" s="6">
        <f>SUM('Data Sheet'!I18,'Data Sheet'!I20:I24, -1*'Data Sheet'!I19)</f>
        <v>63042.3</v>
      </c>
      <c r="J5" s="6">
        <f>SUM('Data Sheet'!J18,'Data Sheet'!J20:J24, -1*'Data Sheet'!J19)</f>
        <v>174195.53999999998</v>
      </c>
      <c r="K5" s="6">
        <f>SUM('Data Sheet'!K18,'Data Sheet'!K20:K24, -1*'Data Sheet'!K19)</f>
        <v>186974.45</v>
      </c>
      <c r="L5" s="6">
        <f>SUM(Quarters!H5:K5)</f>
        <v>211511.42</v>
      </c>
      <c r="M5" s="6">
        <f t="shared" ref="M5:N5" si="0">M4-M6</f>
        <v>244065.33728374957</v>
      </c>
      <c r="N5" s="6">
        <f t="shared" si="0"/>
        <v>243627.84805074238</v>
      </c>
    </row>
    <row r="6" spans="1:14" s="2" customFormat="1" x14ac:dyDescent="0.2">
      <c r="A6" s="2" t="s">
        <v>8</v>
      </c>
      <c r="B6" s="1">
        <f>B4-B5</f>
        <v>43106.94</v>
      </c>
      <c r="C6" s="1">
        <f t="shared" ref="C6:K6" si="1">C4-C5</f>
        <v>49415.66</v>
      </c>
      <c r="D6" s="1">
        <f t="shared" si="1"/>
        <v>55755.58</v>
      </c>
      <c r="E6" s="1">
        <f t="shared" si="1"/>
        <v>70304.47</v>
      </c>
      <c r="F6" s="1">
        <f t="shared" si="1"/>
        <v>76730.079999999987</v>
      </c>
      <c r="G6" s="1">
        <f t="shared" si="1"/>
        <v>76095.87</v>
      </c>
      <c r="H6" s="1">
        <f t="shared" si="1"/>
        <v>79379.450000000012</v>
      </c>
      <c r="I6" s="1">
        <f t="shared" si="1"/>
        <v>107711.74999999999</v>
      </c>
      <c r="J6" s="1">
        <f t="shared" si="1"/>
        <v>109453.48000000004</v>
      </c>
      <c r="K6" s="1">
        <f t="shared" si="1"/>
        <v>149392.97999999998</v>
      </c>
      <c r="L6" s="1">
        <f>SUM(Quarters!H6:K6)</f>
        <v>136700.57</v>
      </c>
      <c r="M6" s="1">
        <f>M4*M24</f>
        <v>210894.76959231313</v>
      </c>
      <c r="N6" s="1">
        <f>N4*N24</f>
        <v>157457.52969938869</v>
      </c>
    </row>
    <row r="7" spans="1:14" x14ac:dyDescent="0.2">
      <c r="A7" t="s">
        <v>9</v>
      </c>
      <c r="B7" s="6">
        <f>'Data Sheet'!B25</f>
        <v>11211.65</v>
      </c>
      <c r="C7" s="6">
        <f>'Data Sheet'!C25</f>
        <v>12905.08</v>
      </c>
      <c r="D7" s="6">
        <f>'Data Sheet'!D25</f>
        <v>16056.6</v>
      </c>
      <c r="E7" s="6">
        <f>'Data Sheet'!E25</f>
        <v>18947.05</v>
      </c>
      <c r="F7" s="6">
        <f>'Data Sheet'!F25</f>
        <v>24878.97</v>
      </c>
      <c r="G7" s="6">
        <f>'Data Sheet'!G25</f>
        <v>27332.880000000001</v>
      </c>
      <c r="H7" s="6">
        <f>'Data Sheet'!H25</f>
        <v>31758.99</v>
      </c>
      <c r="I7" s="6">
        <f>'Data Sheet'!I25</f>
        <v>33912.050000000003</v>
      </c>
      <c r="J7" s="6">
        <f>'Data Sheet'!J25</f>
        <v>124345.75</v>
      </c>
      <c r="K7" s="6">
        <f>'Data Sheet'!K25</f>
        <v>134548.5</v>
      </c>
      <c r="L7" s="6">
        <f>SUM(Quarters!H7:K7)</f>
        <v>150599.64000000001</v>
      </c>
      <c r="M7" s="6">
        <v>0</v>
      </c>
      <c r="N7" s="6">
        <v>0</v>
      </c>
    </row>
    <row r="8" spans="1:14" x14ac:dyDescent="0.2">
      <c r="A8" t="s">
        <v>10</v>
      </c>
      <c r="B8" s="6">
        <f>'Data Sheet'!B26</f>
        <v>738.03</v>
      </c>
      <c r="C8" s="6">
        <f>'Data Sheet'!C26</f>
        <v>886.19</v>
      </c>
      <c r="D8" s="6">
        <f>'Data Sheet'!D26</f>
        <v>966.78</v>
      </c>
      <c r="E8" s="6">
        <f>'Data Sheet'!E26</f>
        <v>1220.67</v>
      </c>
      <c r="F8" s="6">
        <f>'Data Sheet'!F26</f>
        <v>1276.77</v>
      </c>
      <c r="G8" s="6">
        <f>'Data Sheet'!G26</f>
        <v>1385.01</v>
      </c>
      <c r="H8" s="6">
        <f>'Data Sheet'!H26</f>
        <v>1680.73</v>
      </c>
      <c r="I8" s="6">
        <f>'Data Sheet'!I26</f>
        <v>2345.4699999999998</v>
      </c>
      <c r="J8" s="6">
        <f>'Data Sheet'!J26</f>
        <v>3092.08</v>
      </c>
      <c r="K8" s="6">
        <f>'Data Sheet'!K26</f>
        <v>3805.23</v>
      </c>
      <c r="L8" s="6">
        <f>SUM(Quarters!H8:K8)</f>
        <v>0</v>
      </c>
      <c r="M8" s="6">
        <f>+$L8</f>
        <v>0</v>
      </c>
      <c r="N8" s="6">
        <f>+$L8</f>
        <v>0</v>
      </c>
    </row>
    <row r="9" spans="1:14" x14ac:dyDescent="0.2">
      <c r="A9" t="s">
        <v>11</v>
      </c>
      <c r="B9" s="6">
        <f>'Data Sheet'!B27</f>
        <v>34069.57</v>
      </c>
      <c r="C9" s="6">
        <f>'Data Sheet'!C27</f>
        <v>38041.58</v>
      </c>
      <c r="D9" s="6">
        <f>'Data Sheet'!D27</f>
        <v>42381.48</v>
      </c>
      <c r="E9" s="6">
        <f>'Data Sheet'!E27</f>
        <v>53712.69</v>
      </c>
      <c r="F9" s="6">
        <f>'Data Sheet'!F27</f>
        <v>62137.42</v>
      </c>
      <c r="G9" s="6">
        <f>'Data Sheet'!G27</f>
        <v>59247.59</v>
      </c>
      <c r="H9" s="6">
        <f>'Data Sheet'!H27</f>
        <v>58584.33</v>
      </c>
      <c r="I9" s="6">
        <f>'Data Sheet'!I27</f>
        <v>77779.94</v>
      </c>
      <c r="J9" s="6">
        <f>'Data Sheet'!J27</f>
        <v>154138.54999999999</v>
      </c>
      <c r="K9" s="6">
        <f>'Data Sheet'!K27</f>
        <v>183894.2</v>
      </c>
      <c r="L9" s="6">
        <f>SUM(Quarters!H9:K9)</f>
        <v>187257</v>
      </c>
      <c r="M9" s="6">
        <f>+$L9</f>
        <v>187257</v>
      </c>
      <c r="N9" s="6">
        <f>+$L9</f>
        <v>187257</v>
      </c>
    </row>
    <row r="10" spans="1:14" x14ac:dyDescent="0.2">
      <c r="A10" t="s">
        <v>12</v>
      </c>
      <c r="B10" s="6">
        <f>'Data Sheet'!B28</f>
        <v>19510.990000000002</v>
      </c>
      <c r="C10" s="6">
        <f>'Data Sheet'!C28</f>
        <v>23392.97</v>
      </c>
      <c r="D10" s="6">
        <f>'Data Sheet'!D28</f>
        <v>28463.919999999998</v>
      </c>
      <c r="E10" s="6">
        <f>'Data Sheet'!E28</f>
        <v>34318.160000000003</v>
      </c>
      <c r="F10" s="6">
        <f>'Data Sheet'!F28</f>
        <v>38194.86</v>
      </c>
      <c r="G10" s="6">
        <f>'Data Sheet'!G28</f>
        <v>42796.15</v>
      </c>
      <c r="H10" s="6">
        <f>'Data Sheet'!H28</f>
        <v>50873.38</v>
      </c>
      <c r="I10" s="6">
        <f>'Data Sheet'!I28</f>
        <v>61498.39</v>
      </c>
      <c r="J10" s="6">
        <f>'Data Sheet'!J28</f>
        <v>76568.600000000006</v>
      </c>
      <c r="K10" s="6">
        <f>'Data Sheet'!K28</f>
        <v>96242.05</v>
      </c>
      <c r="L10" s="6">
        <f>SUM(Quarters!H10:K10)</f>
        <v>100043.20999999999</v>
      </c>
      <c r="M10" s="6">
        <f>M6+M7-SUM(M8:M9)</f>
        <v>23637.769592313125</v>
      </c>
      <c r="N10" s="6">
        <f>N6+N7-SUM(N8:N9)</f>
        <v>-29799.470300611312</v>
      </c>
    </row>
    <row r="11" spans="1:14" x14ac:dyDescent="0.2">
      <c r="A11" t="s">
        <v>13</v>
      </c>
      <c r="B11" s="6">
        <f>'Data Sheet'!B29</f>
        <v>6693.66</v>
      </c>
      <c r="C11" s="6">
        <f>'Data Sheet'!C29</f>
        <v>8078.12</v>
      </c>
      <c r="D11" s="6">
        <f>'Data Sheet'!D29</f>
        <v>9903.08</v>
      </c>
      <c r="E11" s="6">
        <f>'Data Sheet'!E29</f>
        <v>11872.55</v>
      </c>
      <c r="F11" s="6">
        <f>'Data Sheet'!F29</f>
        <v>10898.59</v>
      </c>
      <c r="G11" s="6">
        <f>'Data Sheet'!G29</f>
        <v>10939.38</v>
      </c>
      <c r="H11" s="6">
        <f>'Data Sheet'!H29</f>
        <v>12722.48</v>
      </c>
      <c r="I11" s="6">
        <f>'Data Sheet'!I29</f>
        <v>15349.69</v>
      </c>
      <c r="J11" s="6">
        <f>'Data Sheet'!J29</f>
        <v>11122.1</v>
      </c>
      <c r="K11" s="6">
        <f>'Data Sheet'!K29</f>
        <v>22801.88</v>
      </c>
      <c r="L11" s="6">
        <f>SUM(Quarters!H11:K11)</f>
        <v>22613.4</v>
      </c>
      <c r="M11" s="7">
        <f>IF($L10&gt;0,$L11/$L10,0)</f>
        <v>0.22603632970193582</v>
      </c>
      <c r="N11" s="7">
        <f>IF($L10&gt;0,$L11/$L10,0)</f>
        <v>0.22603632970193582</v>
      </c>
    </row>
    <row r="12" spans="1:14" s="2" customFormat="1" x14ac:dyDescent="0.2">
      <c r="A12" s="2" t="s">
        <v>14</v>
      </c>
      <c r="B12" s="1">
        <f>'Data Sheet'!B30</f>
        <v>12801.33</v>
      </c>
      <c r="C12" s="1">
        <f>'Data Sheet'!C30</f>
        <v>15280.48</v>
      </c>
      <c r="D12" s="1">
        <f>'Data Sheet'!D30</f>
        <v>18510.02</v>
      </c>
      <c r="E12" s="1">
        <f>'Data Sheet'!E30</f>
        <v>22332.43</v>
      </c>
      <c r="F12" s="1">
        <f>'Data Sheet'!F30</f>
        <v>27253.95</v>
      </c>
      <c r="G12" s="1">
        <f>'Data Sheet'!G30</f>
        <v>31833.21</v>
      </c>
      <c r="H12" s="1">
        <f>'Data Sheet'!H30</f>
        <v>38052.75</v>
      </c>
      <c r="I12" s="1">
        <f>'Data Sheet'!I30</f>
        <v>45997.11</v>
      </c>
      <c r="J12" s="1">
        <f>'Data Sheet'!J30</f>
        <v>64062.04</v>
      </c>
      <c r="K12" s="1">
        <f>'Data Sheet'!K30</f>
        <v>70792.25</v>
      </c>
      <c r="L12" s="1">
        <f>SUM(Quarters!H12:K12)</f>
        <v>74510.09</v>
      </c>
      <c r="M12" s="1">
        <f>M10-M11*M10</f>
        <v>18294.774911326644</v>
      </c>
      <c r="N12" s="1">
        <f>N10-N11*N10</f>
        <v>-23063.707406799287</v>
      </c>
    </row>
    <row r="13" spans="1:14" x14ac:dyDescent="0.2">
      <c r="A13" t="s">
        <v>57</v>
      </c>
      <c r="B13" s="6">
        <f>IF('Data Sheet'!B93&gt;0,B12/'Data Sheet'!B93,0)</f>
        <v>12.658541650185903</v>
      </c>
      <c r="C13" s="6">
        <f>IF('Data Sheet'!C93&gt;0,C12/'Data Sheet'!C93,0)</f>
        <v>14.90749448791243</v>
      </c>
      <c r="D13" s="6">
        <f>IF('Data Sheet'!D93&gt;0,D12/'Data Sheet'!D93,0)</f>
        <v>17.831702053870757</v>
      </c>
      <c r="E13" s="6">
        <f>IF('Data Sheet'!E93&gt;0,E12/'Data Sheet'!E93,0)</f>
        <v>20.501257665332503</v>
      </c>
      <c r="F13" s="6">
        <f>IF('Data Sheet'!F93&gt;0,F12/'Data Sheet'!F93,0)</f>
        <v>24.85177721445115</v>
      </c>
      <c r="G13" s="6">
        <f>IF('Data Sheet'!G93&gt;0,G12/'Data Sheet'!G93,0)</f>
        <v>28.872088593818024</v>
      </c>
      <c r="H13" s="6">
        <f>IF('Data Sheet'!H93&gt;0,H12/'Data Sheet'!H93,0)</f>
        <v>34.309265988044473</v>
      </c>
      <c r="I13" s="6">
        <f>IF('Data Sheet'!I93&gt;0,I12/'Data Sheet'!I93,0)</f>
        <v>41.217895066983289</v>
      </c>
      <c r="J13" s="6">
        <f>IF('Data Sheet'!J93&gt;0,J12/'Data Sheet'!J93,0)</f>
        <v>42.163277126196206</v>
      </c>
      <c r="K13" s="6">
        <f>IF('Data Sheet'!K93&gt;0,K12/'Data Sheet'!K93,0)</f>
        <v>46.256142024515825</v>
      </c>
      <c r="L13" s="6">
        <f>IF('Data Sheet'!$B6&gt;0,'Profit &amp; Loss'!L12/'Data Sheet'!$B6,0)</f>
        <v>48.420561243005636</v>
      </c>
      <c r="M13" s="6">
        <f>IF('Data Sheet'!$B6&gt;0,'Profit &amp; Loss'!M12/'Data Sheet'!$B6,0)</f>
        <v>11.888903489727296</v>
      </c>
      <c r="N13" s="6">
        <f>IF('Data Sheet'!$B6&gt;0,'Profit &amp; Loss'!N12/'Data Sheet'!$B6,0)</f>
        <v>-14.988005745016382</v>
      </c>
    </row>
    <row r="14" spans="1:14" x14ac:dyDescent="0.2">
      <c r="A14" t="s">
        <v>16</v>
      </c>
      <c r="B14" s="6">
        <f>IF(B15&gt;0,B15/B13,"")</f>
        <v>21.154885562672007</v>
      </c>
      <c r="C14" s="6">
        <f t="shared" ref="C14:K14" si="2">IF(C15&gt;0,C15/C13,"")</f>
        <v>24.191858685067483</v>
      </c>
      <c r="D14" s="6">
        <f t="shared" si="2"/>
        <v>26.443353448564615</v>
      </c>
      <c r="E14" s="6">
        <f t="shared" si="2"/>
        <v>28.277777366815879</v>
      </c>
      <c r="F14" s="6">
        <f t="shared" si="2"/>
        <v>17.340812139157812</v>
      </c>
      <c r="G14" s="6">
        <f t="shared" si="2"/>
        <v>25.866850524970623</v>
      </c>
      <c r="H14" s="6">
        <f t="shared" si="2"/>
        <v>21.428030557581248</v>
      </c>
      <c r="I14" s="6">
        <f t="shared" si="2"/>
        <v>19.525014528086654</v>
      </c>
      <c r="J14" s="6">
        <f t="shared" si="2"/>
        <v>17.170154915453836</v>
      </c>
      <c r="K14" s="6">
        <f t="shared" si="2"/>
        <v>19.761699960094504</v>
      </c>
      <c r="L14" s="6">
        <f t="shared" ref="L14" si="3">IF(L13&gt;0,L15/L13,0)</f>
        <v>15.329231651713211</v>
      </c>
      <c r="M14" s="6">
        <f>M25</f>
        <v>17.946525263837053</v>
      </c>
      <c r="N14" s="6">
        <f>N25</f>
        <v>15.329231651713211</v>
      </c>
    </row>
    <row r="15" spans="1:14" s="2" customFormat="1" x14ac:dyDescent="0.2">
      <c r="A15" s="2" t="s">
        <v>58</v>
      </c>
      <c r="B15" s="1">
        <f>'Data Sheet'!B90</f>
        <v>267.79000000000002</v>
      </c>
      <c r="C15" s="1">
        <f>'Data Sheet'!C90</f>
        <v>360.64</v>
      </c>
      <c r="D15" s="1">
        <f>'Data Sheet'!D90</f>
        <v>471.53</v>
      </c>
      <c r="E15" s="1">
        <f>'Data Sheet'!E90</f>
        <v>579.73</v>
      </c>
      <c r="F15" s="1">
        <f>'Data Sheet'!F90</f>
        <v>430.95</v>
      </c>
      <c r="G15" s="1">
        <f>'Data Sheet'!G90</f>
        <v>746.83</v>
      </c>
      <c r="H15" s="1">
        <f>'Data Sheet'!H90</f>
        <v>735.18</v>
      </c>
      <c r="I15" s="1">
        <f>'Data Sheet'!I90</f>
        <v>804.78</v>
      </c>
      <c r="J15" s="1">
        <f>'Data Sheet'!J90</f>
        <v>723.95</v>
      </c>
      <c r="K15" s="1">
        <f>'Data Sheet'!K90</f>
        <v>914.1</v>
      </c>
      <c r="L15" s="1">
        <f>'Data Sheet'!B8</f>
        <v>742.25</v>
      </c>
      <c r="M15" s="8">
        <f>M13*M14</f>
        <v>213.36450683771142</v>
      </c>
      <c r="N15" s="9">
        <f>N13*N14</f>
        <v>-229.75461206256458</v>
      </c>
    </row>
    <row r="17" spans="1:14" s="2" customFormat="1" x14ac:dyDescent="0.2">
      <c r="A17" s="2" t="s">
        <v>15</v>
      </c>
    </row>
    <row r="18" spans="1:14" x14ac:dyDescent="0.2">
      <c r="A18" t="s">
        <v>17</v>
      </c>
      <c r="B18" s="5">
        <f>IF('Data Sheet'!B30&gt;0, 'Data Sheet'!B31/'Data Sheet'!B30, 0)</f>
        <v>0.18762034882313008</v>
      </c>
      <c r="C18" s="5">
        <f>IF('Data Sheet'!C30&gt;0, 'Data Sheet'!C31/'Data Sheet'!C30, 0)</f>
        <v>0.18447064490120732</v>
      </c>
      <c r="D18" s="5">
        <f>IF('Data Sheet'!D30&gt;0, 'Data Sheet'!D31/'Data Sheet'!D30, 0)</f>
        <v>0.18225966260436238</v>
      </c>
      <c r="E18" s="5">
        <f>IF('Data Sheet'!E30&gt;0, 'Data Sheet'!E31/'Data Sheet'!E30, 0)</f>
        <v>0.18291560748203398</v>
      </c>
      <c r="F18" s="5">
        <f>IF('Data Sheet'!F30&gt;0, 'Data Sheet'!F31/'Data Sheet'!F30, 0)</f>
        <v>5.0298030193788416E-2</v>
      </c>
      <c r="G18" s="5">
        <f>IF('Data Sheet'!G30&gt;0, 'Data Sheet'!G31/'Data Sheet'!G30, 0)</f>
        <v>0.11256546229550837</v>
      </c>
      <c r="H18" s="5">
        <f>IF('Data Sheet'!H30&gt;0, 'Data Sheet'!H31/'Data Sheet'!H30, 0)</f>
        <v>0.22588433161860838</v>
      </c>
      <c r="I18" s="5">
        <f>IF('Data Sheet'!I30&gt;0, 'Data Sheet'!I31/'Data Sheet'!I30, 0)</f>
        <v>0.23048034974371218</v>
      </c>
      <c r="J18" s="5">
        <f>IF('Data Sheet'!J30&gt;0, 'Data Sheet'!J31/'Data Sheet'!J30, 0)</f>
        <v>0.23124396288347981</v>
      </c>
      <c r="K18" s="5">
        <f>IF('Data Sheet'!K30&gt;0, 'Data Sheet'!K31/'Data Sheet'!K30, 0)</f>
        <v>0.2378062570408484</v>
      </c>
    </row>
    <row r="19" spans="1:14" x14ac:dyDescent="0.2">
      <c r="A19" t="s">
        <v>18</v>
      </c>
      <c r="B19" s="5">
        <f t="shared" ref="B19:L19" si="4">IF(B6&gt;0,B6/B4,0)</f>
        <v>0.68248694300774082</v>
      </c>
      <c r="C19" s="5">
        <f t="shared" ref="C19:K19" si="5">IF(C6&gt;0,C6/C4,0)</f>
        <v>0.67441994722357379</v>
      </c>
      <c r="D19" s="5">
        <f t="shared" si="5"/>
        <v>0.6537342251838012</v>
      </c>
      <c r="E19" s="5">
        <f t="shared" si="5"/>
        <v>0.6685429372216285</v>
      </c>
      <c r="F19" s="5">
        <f t="shared" si="5"/>
        <v>0.62796076481007457</v>
      </c>
      <c r="G19" s="5">
        <f t="shared" si="5"/>
        <v>0.59194437443408288</v>
      </c>
      <c r="H19" s="5">
        <f t="shared" si="5"/>
        <v>0.58394546391213364</v>
      </c>
      <c r="I19" s="5">
        <f t="shared" si="5"/>
        <v>0.63080055787842215</v>
      </c>
      <c r="J19" s="5">
        <f t="shared" si="5"/>
        <v>0.3858764609868916</v>
      </c>
      <c r="K19" s="5">
        <f t="shared" si="5"/>
        <v>0.44413628275484335</v>
      </c>
      <c r="L19" s="5">
        <f t="shared" si="4"/>
        <v>0.39257858409757806</v>
      </c>
    </row>
    <row r="20" spans="1:14" x14ac:dyDescent="0.2">
      <c r="B20" s="5"/>
      <c r="C20" s="5"/>
      <c r="D20" s="5"/>
      <c r="E20" s="5"/>
      <c r="F20" s="5"/>
      <c r="G20" s="5"/>
      <c r="H20" s="5"/>
      <c r="I20" s="5"/>
      <c r="J20" s="5"/>
      <c r="K20" s="5"/>
      <c r="L20" s="5"/>
    </row>
    <row r="21" spans="1:14" x14ac:dyDescent="0.2">
      <c r="B21" s="5"/>
      <c r="C21" s="5"/>
      <c r="D21" s="5"/>
      <c r="E21" s="5"/>
      <c r="F21" s="5"/>
      <c r="G21" s="5"/>
      <c r="H21" s="5"/>
      <c r="I21" s="5"/>
      <c r="J21" s="5"/>
      <c r="K21" s="5"/>
      <c r="L21" s="5"/>
    </row>
    <row r="22" spans="1:14" s="2" customFormat="1" x14ac:dyDescent="0.2">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2">
      <c r="A23"/>
      <c r="B23"/>
      <c r="C23"/>
      <c r="D23"/>
      <c r="E23"/>
      <c r="F23"/>
      <c r="G23" t="s">
        <v>22</v>
      </c>
      <c r="H23" s="5">
        <f>IF(B4=0,"",POWER($K4/B4,1/9)-1)</f>
        <v>0.20422263936758567</v>
      </c>
      <c r="I23" s="5">
        <f>IF(D4=0,"",POWER($K4/D4,1/7)-1)</f>
        <v>0.2165568349579059</v>
      </c>
      <c r="J23" s="5">
        <f>IF(F4=0,"",POWER($K4/F4,1/5)-1)</f>
        <v>0.2244925838160563</v>
      </c>
      <c r="K23" s="5">
        <f>IF(H4=0,"",POWER($K4/H4, 1/3)-1)</f>
        <v>0.35256884674019329</v>
      </c>
      <c r="L23" s="5">
        <f>IF(ISERROR(MAX(IF(J4=0,"",(K4-J4)/J4),IF(K4=0,"",(L4-K4)/K4))),"",MAX(IF(J4=0,"",(K4-J4)/J4),IF(K4=0,"",(L4-K4)/K4)))</f>
        <v>0.18585789578966277</v>
      </c>
      <c r="M23" s="16">
        <f>MAX(K23:L23)</f>
        <v>0.35256884674019329</v>
      </c>
      <c r="N23" s="16">
        <f>MIN(H23:L23)</f>
        <v>0.18585789578966277</v>
      </c>
    </row>
    <row r="24" spans="1:14" x14ac:dyDescent="0.2">
      <c r="G24" t="s">
        <v>18</v>
      </c>
      <c r="H24" s="5">
        <f>IF(SUM(B4:$K$4)=0,"",SUMPRODUCT(B19:$K$19,B4:$K$4)/SUM(B4:$K$4))</f>
        <v>0.54332906416835691</v>
      </c>
      <c r="I24" s="5">
        <f>IF(SUM(E4:$K$4)=0,"",SUMPRODUCT(E19:$K$19,E4:$K$4)/SUM(E4:$K$4))</f>
        <v>0.52164603760019412</v>
      </c>
      <c r="J24" s="5">
        <f>IF(SUM(G4:$K$4)=0,"",SUMPRODUCT(G19:$K$19,G4:$K$4)/SUM(G4:$K$4))</f>
        <v>0.4946969195656753</v>
      </c>
      <c r="K24" s="5">
        <f>IF(SUM(I4:$K$4)=0, "", SUMPRODUCT(I19:$K$19,I4:$K$4)/SUM(I4:$K$4))</f>
        <v>0.46354563049582659</v>
      </c>
      <c r="L24" s="5">
        <f>L19</f>
        <v>0.39257858409757806</v>
      </c>
      <c r="M24" s="16">
        <f>MAX(K24:L24)</f>
        <v>0.46354563049582659</v>
      </c>
      <c r="N24" s="16">
        <f>MIN(H24:L24)</f>
        <v>0.39257858409757806</v>
      </c>
    </row>
    <row r="25" spans="1:14" x14ac:dyDescent="0.2">
      <c r="G25" t="s">
        <v>23</v>
      </c>
      <c r="H25" s="6">
        <f>IF(ISERROR(AVERAGEIF(B14:$L14,"&gt;0")),"",AVERAGEIF(B14:$L14,"&gt;0"))</f>
        <v>21.499060849107082</v>
      </c>
      <c r="I25" s="6">
        <f>IF(ISERROR(AVERAGEIF(E14:$L14,"&gt;0")),"",AVERAGEIF(E14:$L14,"&gt;0"))</f>
        <v>20.587446455484219</v>
      </c>
      <c r="J25" s="6">
        <f>IF(ISERROR(AVERAGEIF(G14:$L14,"&gt;0")),"",AVERAGEIF(G14:$L14,"&gt;0"))</f>
        <v>19.84683035631668</v>
      </c>
      <c r="K25" s="6">
        <f>IF(ISERROR(AVERAGEIF(I14:$L14,"&gt;0")),"",AVERAGEIF(I14:$L14,"&gt;0"))</f>
        <v>17.946525263837053</v>
      </c>
      <c r="L25" s="6">
        <f>L14</f>
        <v>15.329231651713211</v>
      </c>
      <c r="M25" s="1">
        <f>MAX(K25:L25)</f>
        <v>17.946525263837053</v>
      </c>
      <c r="N25" s="1">
        <f>MIN(H25:L25)</f>
        <v>15.329231651713211</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3A7F-7E9B-5148-ACC3-18FD7349386C}">
  <dimension ref="A2:O44"/>
  <sheetViews>
    <sheetView showGridLines="0" tabSelected="1" zoomScale="86" workbookViewId="0">
      <selection activeCell="T33" sqref="T33"/>
    </sheetView>
  </sheetViews>
  <sheetFormatPr baseColWidth="10" defaultRowHeight="15" x14ac:dyDescent="0.2"/>
  <cols>
    <col min="1" max="2" width="12.5" bestFit="1" customWidth="1"/>
    <col min="3" max="3" width="13.5" bestFit="1" customWidth="1"/>
    <col min="5" max="5" width="12.5" bestFit="1" customWidth="1"/>
    <col min="6" max="6" width="11" bestFit="1" customWidth="1"/>
    <col min="8" max="8" width="12.5" bestFit="1" customWidth="1"/>
    <col min="9" max="9" width="9.6640625" bestFit="1" customWidth="1"/>
    <col min="11" max="11" width="12.5" bestFit="1" customWidth="1"/>
    <col min="12" max="12" width="20" bestFit="1" customWidth="1"/>
  </cols>
  <sheetData>
    <row r="2" spans="1:15" s="2" customFormat="1" x14ac:dyDescent="0.2">
      <c r="A2" s="2" t="s">
        <v>93</v>
      </c>
      <c r="F2" s="2" t="s">
        <v>97</v>
      </c>
      <c r="K2" s="2" t="s">
        <v>101</v>
      </c>
    </row>
    <row r="3" spans="1:15" s="2" customFormat="1" x14ac:dyDescent="0.2">
      <c r="A3" s="31" t="s">
        <v>94</v>
      </c>
      <c r="B3" s="31" t="s">
        <v>95</v>
      </c>
      <c r="C3" s="31" t="s">
        <v>96</v>
      </c>
      <c r="E3" s="31" t="s">
        <v>94</v>
      </c>
      <c r="F3" s="31" t="s">
        <v>98</v>
      </c>
      <c r="G3" s="31" t="s">
        <v>99</v>
      </c>
      <c r="H3" s="31" t="s">
        <v>100</v>
      </c>
      <c r="J3" s="31" t="s">
        <v>94</v>
      </c>
      <c r="K3" s="31" t="s">
        <v>102</v>
      </c>
      <c r="L3" s="31" t="s">
        <v>103</v>
      </c>
      <c r="M3" s="31" t="s">
        <v>104</v>
      </c>
      <c r="N3" s="31" t="s">
        <v>95</v>
      </c>
      <c r="O3" s="31" t="s">
        <v>96</v>
      </c>
    </row>
    <row r="4" spans="1:15" x14ac:dyDescent="0.2">
      <c r="A4" s="32">
        <f>'Profit &amp; Loss'!B3</f>
        <v>42460</v>
      </c>
      <c r="B4" s="33">
        <f>Annual[[#This Row],[Column2]]</f>
        <v>63161.56</v>
      </c>
      <c r="C4" s="29">
        <f>'Profit &amp; Loss'!B12</f>
        <v>12801.33</v>
      </c>
      <c r="E4" s="32">
        <f>A4</f>
        <v>42460</v>
      </c>
      <c r="F4" s="29">
        <f>'Balance Sheet'!B4+'Balance Sheet'!B5</f>
        <v>74304.13</v>
      </c>
      <c r="G4" s="29">
        <f>'Balance Sheet'!B6+'Balance Sheet'!B7</f>
        <v>687908.2</v>
      </c>
      <c r="H4" s="29">
        <f>F4+G4</f>
        <v>762212.33</v>
      </c>
      <c r="J4" s="32">
        <f>E4</f>
        <v>42460</v>
      </c>
      <c r="K4" s="34">
        <f>C4/B4</f>
        <v>0.20267596303827834</v>
      </c>
      <c r="L4" s="34">
        <f>C4/F4</f>
        <v>0.17228288656364052</v>
      </c>
      <c r="M4" s="29">
        <f>G4/F4</f>
        <v>9.2580075966167676</v>
      </c>
      <c r="N4" s="33">
        <f>B4</f>
        <v>63161.56</v>
      </c>
      <c r="O4" s="29">
        <f>C4</f>
        <v>12801.33</v>
      </c>
    </row>
    <row r="5" spans="1:15" x14ac:dyDescent="0.2">
      <c r="A5" s="32">
        <f>'Profit &amp; Loss'!C3</f>
        <v>42825</v>
      </c>
      <c r="B5" s="29">
        <f>'Profit &amp; Loss'!C4</f>
        <v>73271.350000000006</v>
      </c>
      <c r="C5" s="29">
        <f>'Profit &amp; Loss'!C12</f>
        <v>15280.48</v>
      </c>
      <c r="E5" s="32">
        <f t="shared" ref="E5:E13" si="0">A5</f>
        <v>42825</v>
      </c>
      <c r="F5" s="29">
        <f>'Balance Sheet'!C4+'Balance Sheet'!C5</f>
        <v>91793.95</v>
      </c>
      <c r="G5" s="29">
        <f>'Balance Sheet'!C6+'Balance Sheet'!C7</f>
        <v>800550.21</v>
      </c>
      <c r="H5" s="29">
        <f t="shared" ref="H5:H13" si="1">F5+G5</f>
        <v>892344.15999999992</v>
      </c>
      <c r="J5" s="32">
        <f t="shared" ref="J5:J13" si="2">E5</f>
        <v>42825</v>
      </c>
      <c r="K5" s="34">
        <f t="shared" ref="K5:K13" si="3">C5/B5</f>
        <v>0.20854645096616889</v>
      </c>
      <c r="L5" s="34">
        <f t="shared" ref="L5:L13" si="4">C5/F5</f>
        <v>0.16646500123374144</v>
      </c>
      <c r="M5" s="29">
        <f t="shared" ref="M5:M13" si="5">G5/F5</f>
        <v>8.7211652837687019</v>
      </c>
      <c r="N5" s="33">
        <f t="shared" ref="N5:N13" si="6">B5</f>
        <v>73271.350000000006</v>
      </c>
      <c r="O5" s="29">
        <f t="shared" ref="O5:O13" si="7">C5</f>
        <v>15280.48</v>
      </c>
    </row>
    <row r="6" spans="1:15" x14ac:dyDescent="0.2">
      <c r="A6" s="32">
        <f>'Profit &amp; Loss'!D3</f>
        <v>43190</v>
      </c>
      <c r="B6" s="29">
        <f>'Profit &amp; Loss'!D4</f>
        <v>85287.84</v>
      </c>
      <c r="C6" s="29">
        <f>'Profit &amp; Loss'!D12</f>
        <v>18510.02</v>
      </c>
      <c r="E6" s="32">
        <f t="shared" si="0"/>
        <v>43190</v>
      </c>
      <c r="F6" s="29">
        <f>'Balance Sheet'!D4+'Balance Sheet'!D5</f>
        <v>109599.13</v>
      </c>
      <c r="G6" s="29">
        <f>'Balance Sheet'!D6+'Balance Sheet'!D7</f>
        <v>993587.03999999992</v>
      </c>
      <c r="H6" s="29">
        <f t="shared" si="1"/>
        <v>1103186.17</v>
      </c>
      <c r="J6" s="32">
        <f t="shared" si="2"/>
        <v>43190</v>
      </c>
      <c r="K6" s="34">
        <f t="shared" si="3"/>
        <v>0.2170300009942801</v>
      </c>
      <c r="L6" s="34">
        <f t="shared" si="4"/>
        <v>0.16888838442421941</v>
      </c>
      <c r="M6" s="29">
        <f t="shared" si="5"/>
        <v>9.065647145191754</v>
      </c>
      <c r="N6" s="33">
        <f t="shared" si="6"/>
        <v>85287.84</v>
      </c>
      <c r="O6" s="29">
        <f t="shared" si="7"/>
        <v>18510.02</v>
      </c>
    </row>
    <row r="7" spans="1:15" x14ac:dyDescent="0.2">
      <c r="A7" s="32">
        <f>'Profit &amp; Loss'!E3</f>
        <v>43555</v>
      </c>
      <c r="B7" s="29">
        <f>'Profit &amp; Loss'!E4</f>
        <v>105160.74</v>
      </c>
      <c r="C7" s="29">
        <f>'Profit &amp; Loss'!E12</f>
        <v>22332.43</v>
      </c>
      <c r="E7" s="32">
        <f t="shared" si="0"/>
        <v>43555</v>
      </c>
      <c r="F7" s="29">
        <f>'Balance Sheet'!E4+'Balance Sheet'!E5</f>
        <v>153672.66</v>
      </c>
      <c r="G7" s="29">
        <f>'Balance Sheet'!E6+'Balance Sheet'!E7</f>
        <v>1139133.05</v>
      </c>
      <c r="H7" s="29">
        <f t="shared" si="1"/>
        <v>1292805.71</v>
      </c>
      <c r="J7" s="32">
        <f t="shared" si="2"/>
        <v>43555</v>
      </c>
      <c r="K7" s="34">
        <f t="shared" si="3"/>
        <v>0.21236470949139383</v>
      </c>
      <c r="L7" s="34">
        <f t="shared" si="4"/>
        <v>0.14532467909386093</v>
      </c>
      <c r="M7" s="29">
        <f t="shared" si="5"/>
        <v>7.4127242282394281</v>
      </c>
      <c r="N7" s="33">
        <f t="shared" si="6"/>
        <v>105160.74</v>
      </c>
      <c r="O7" s="29">
        <f t="shared" si="7"/>
        <v>22332.43</v>
      </c>
    </row>
    <row r="8" spans="1:15" x14ac:dyDescent="0.2">
      <c r="A8" s="32">
        <f>'Profit &amp; Loss'!F3</f>
        <v>43921</v>
      </c>
      <c r="B8" s="29">
        <f>'Profit &amp; Loss'!F4</f>
        <v>122189.29</v>
      </c>
      <c r="C8" s="29">
        <f>'Profit &amp; Loss'!F12</f>
        <v>27253.95</v>
      </c>
      <c r="E8" s="32">
        <f t="shared" si="0"/>
        <v>43921</v>
      </c>
      <c r="F8" s="29">
        <f>'Balance Sheet'!F4+'Balance Sheet'!F5</f>
        <v>176358.71</v>
      </c>
      <c r="G8" s="29">
        <f>'Balance Sheet'!F6+'Balance Sheet'!F7</f>
        <v>1404471.72</v>
      </c>
      <c r="H8" s="29">
        <f t="shared" si="1"/>
        <v>1580830.43</v>
      </c>
      <c r="J8" s="32">
        <f t="shared" si="2"/>
        <v>43921</v>
      </c>
      <c r="K8" s="34">
        <f t="shared" si="3"/>
        <v>0.22304696262659357</v>
      </c>
      <c r="L8" s="34">
        <f t="shared" si="4"/>
        <v>0.15453702286663359</v>
      </c>
      <c r="M8" s="29">
        <f t="shared" si="5"/>
        <v>7.9637218938605301</v>
      </c>
      <c r="N8" s="33">
        <f t="shared" si="6"/>
        <v>122189.29</v>
      </c>
      <c r="O8" s="29">
        <f t="shared" si="7"/>
        <v>27253.95</v>
      </c>
    </row>
    <row r="9" spans="1:15" x14ac:dyDescent="0.2">
      <c r="A9" s="32">
        <f>'Profit &amp; Loss'!G3</f>
        <v>44286</v>
      </c>
      <c r="B9" s="29">
        <f>'Profit &amp; Loss'!G4</f>
        <v>128552.4</v>
      </c>
      <c r="C9" s="29">
        <f>'Profit &amp; Loss'!G12</f>
        <v>31833.21</v>
      </c>
      <c r="E9" s="32">
        <f t="shared" si="0"/>
        <v>44286</v>
      </c>
      <c r="F9" s="29">
        <f>'Balance Sheet'!G4+'Balance Sheet'!G5</f>
        <v>209810.18</v>
      </c>
      <c r="G9" s="29">
        <f>'Balance Sheet'!G6+'Balance Sheet'!G7</f>
        <v>1589696.4500000002</v>
      </c>
      <c r="H9" s="29">
        <f t="shared" si="1"/>
        <v>1799506.6300000001</v>
      </c>
      <c r="J9" s="32">
        <f t="shared" si="2"/>
        <v>44286</v>
      </c>
      <c r="K9" s="34">
        <f t="shared" si="3"/>
        <v>0.24762828231911657</v>
      </c>
      <c r="L9" s="34">
        <f t="shared" si="4"/>
        <v>0.15172385820363912</v>
      </c>
      <c r="M9" s="29">
        <f t="shared" si="5"/>
        <v>7.5768318296090316</v>
      </c>
      <c r="N9" s="33">
        <f t="shared" si="6"/>
        <v>128552.4</v>
      </c>
      <c r="O9" s="29">
        <f t="shared" si="7"/>
        <v>31833.21</v>
      </c>
    </row>
    <row r="10" spans="1:15" x14ac:dyDescent="0.2">
      <c r="A10" s="32">
        <f>'Profit &amp; Loss'!H3</f>
        <v>44651</v>
      </c>
      <c r="B10" s="29">
        <f>'Profit &amp; Loss'!H4</f>
        <v>135936.41</v>
      </c>
      <c r="C10" s="29">
        <f>'Profit &amp; Loss'!H12</f>
        <v>38052.75</v>
      </c>
      <c r="E10" s="32">
        <f t="shared" si="0"/>
        <v>44651</v>
      </c>
      <c r="F10" s="29">
        <f>'Balance Sheet'!H4+'Balance Sheet'!H5</f>
        <v>247326.16999999998</v>
      </c>
      <c r="G10" s="29">
        <f>'Balance Sheet'!H6+'Balance Sheet'!H7</f>
        <v>1875608.1300000001</v>
      </c>
      <c r="H10" s="29">
        <f t="shared" si="1"/>
        <v>2122934.3000000003</v>
      </c>
      <c r="J10" s="32">
        <f t="shared" si="2"/>
        <v>44651</v>
      </c>
      <c r="K10" s="34">
        <f t="shared" si="3"/>
        <v>0.27993052045438011</v>
      </c>
      <c r="L10" s="34">
        <f t="shared" si="4"/>
        <v>0.15385654498268422</v>
      </c>
      <c r="M10" s="29">
        <f t="shared" si="5"/>
        <v>7.5835409168386843</v>
      </c>
      <c r="N10" s="33">
        <f t="shared" si="6"/>
        <v>135936.41</v>
      </c>
      <c r="O10" s="29">
        <f t="shared" si="7"/>
        <v>38052.75</v>
      </c>
    </row>
    <row r="11" spans="1:15" x14ac:dyDescent="0.2">
      <c r="A11" s="32">
        <f>'Profit &amp; Loss'!I3</f>
        <v>45016</v>
      </c>
      <c r="B11" s="29">
        <f>'Profit &amp; Loss'!I4</f>
        <v>170754.05</v>
      </c>
      <c r="C11" s="29">
        <f>'Profit &amp; Loss'!I12</f>
        <v>45997.11</v>
      </c>
      <c r="E11" s="32">
        <f t="shared" si="0"/>
        <v>45016</v>
      </c>
      <c r="F11" s="29">
        <f>'Balance Sheet'!I4+'Balance Sheet'!I5</f>
        <v>289437.5</v>
      </c>
      <c r="G11" s="29">
        <f>'Balance Sheet'!I6+'Balance Sheet'!I7</f>
        <v>2240994.94</v>
      </c>
      <c r="H11" s="29">
        <f t="shared" si="1"/>
        <v>2530432.44</v>
      </c>
      <c r="J11" s="32">
        <f t="shared" si="2"/>
        <v>45016</v>
      </c>
      <c r="K11" s="34">
        <f t="shared" si="3"/>
        <v>0.26937639253651674</v>
      </c>
      <c r="L11" s="34">
        <f t="shared" si="4"/>
        <v>0.1589189721442453</v>
      </c>
      <c r="M11" s="29">
        <f t="shared" si="5"/>
        <v>7.7425867069747349</v>
      </c>
      <c r="N11" s="33">
        <f t="shared" si="6"/>
        <v>170754.05</v>
      </c>
      <c r="O11" s="29">
        <f t="shared" si="7"/>
        <v>45997.11</v>
      </c>
    </row>
    <row r="12" spans="1:15" x14ac:dyDescent="0.2">
      <c r="A12" s="32">
        <f>'Profit &amp; Loss'!J3</f>
        <v>45382</v>
      </c>
      <c r="B12" s="29">
        <f>'Profit &amp; Loss'!J4</f>
        <v>283649.02</v>
      </c>
      <c r="C12" s="33">
        <f>Annual[[#This Row],[Column10]]</f>
        <v>64062.04</v>
      </c>
      <c r="D12" s="25"/>
      <c r="E12" s="32">
        <f t="shared" si="0"/>
        <v>45382</v>
      </c>
      <c r="F12" s="29">
        <f>'Balance Sheet'!J4+'Balance Sheet'!J5</f>
        <v>456395.25</v>
      </c>
      <c r="G12" s="29">
        <f>'Balance Sheet'!J6+'Balance Sheet'!J7</f>
        <v>3573799.0100000002</v>
      </c>
      <c r="H12" s="29">
        <f t="shared" si="1"/>
        <v>4030194.2600000002</v>
      </c>
      <c r="J12" s="32">
        <f t="shared" si="2"/>
        <v>45382</v>
      </c>
      <c r="K12" s="34">
        <f t="shared" si="3"/>
        <v>0.2258496785922264</v>
      </c>
      <c r="L12" s="34">
        <f t="shared" si="4"/>
        <v>0.1403652645377006</v>
      </c>
      <c r="M12" s="29">
        <f t="shared" si="5"/>
        <v>7.8304912463484238</v>
      </c>
      <c r="N12" s="33">
        <f t="shared" si="6"/>
        <v>283649.02</v>
      </c>
      <c r="O12" s="29">
        <f t="shared" si="7"/>
        <v>64062.04</v>
      </c>
    </row>
    <row r="13" spans="1:15" x14ac:dyDescent="0.2">
      <c r="A13" s="32">
        <f>'Profit &amp; Loss'!K3</f>
        <v>45747</v>
      </c>
      <c r="B13" s="29">
        <f>'Profit &amp; Loss'!K4</f>
        <v>336367.43</v>
      </c>
      <c r="C13" s="29">
        <f>'Profit &amp; Loss'!K12</f>
        <v>70792.25</v>
      </c>
      <c r="E13" s="32">
        <f t="shared" si="0"/>
        <v>45747</v>
      </c>
      <c r="F13" s="29">
        <f>'Balance Sheet'!K4+'Balance Sheet'!K5</f>
        <v>521789.38999999996</v>
      </c>
      <c r="G13" s="29">
        <f>'Balance Sheet'!K6+'Balance Sheet'!K7</f>
        <v>3870320.44</v>
      </c>
      <c r="H13" s="29">
        <f t="shared" si="1"/>
        <v>4392109.83</v>
      </c>
      <c r="J13" s="32">
        <f t="shared" si="2"/>
        <v>45747</v>
      </c>
      <c r="K13" s="34">
        <f t="shared" si="3"/>
        <v>0.21046107228633879</v>
      </c>
      <c r="L13" s="34">
        <f t="shared" si="4"/>
        <v>0.13567207642915086</v>
      </c>
      <c r="M13" s="29">
        <f t="shared" si="5"/>
        <v>7.4173996523769876</v>
      </c>
      <c r="N13" s="33">
        <f t="shared" si="6"/>
        <v>336367.43</v>
      </c>
      <c r="O13" s="29">
        <f t="shared" si="7"/>
        <v>70792.25</v>
      </c>
    </row>
    <row r="31" spans="2:12" x14ac:dyDescent="0.2">
      <c r="B31" s="26" t="s">
        <v>105</v>
      </c>
      <c r="C31" t="s">
        <v>117</v>
      </c>
      <c r="E31" s="26" t="s">
        <v>105</v>
      </c>
      <c r="F31" t="s">
        <v>120</v>
      </c>
      <c r="H31" s="26" t="s">
        <v>105</v>
      </c>
      <c r="I31" t="s">
        <v>118</v>
      </c>
      <c r="K31" s="26" t="s">
        <v>105</v>
      </c>
      <c r="L31" t="s">
        <v>119</v>
      </c>
    </row>
    <row r="32" spans="2:12" x14ac:dyDescent="0.2">
      <c r="B32" s="20" t="s">
        <v>107</v>
      </c>
      <c r="C32" s="25">
        <v>63161.56</v>
      </c>
      <c r="E32" s="20" t="s">
        <v>107</v>
      </c>
      <c r="F32" s="37">
        <v>12801.33</v>
      </c>
      <c r="H32" s="20" t="s">
        <v>107</v>
      </c>
      <c r="I32" s="27">
        <v>0.17228288656364052</v>
      </c>
      <c r="K32" s="20" t="s">
        <v>107</v>
      </c>
      <c r="L32" s="27">
        <v>0.20267596303827834</v>
      </c>
    </row>
    <row r="33" spans="2:12" x14ac:dyDescent="0.2">
      <c r="B33" s="20" t="s">
        <v>108</v>
      </c>
      <c r="C33" s="25">
        <v>73271.350000000006</v>
      </c>
      <c r="E33" s="20" t="s">
        <v>108</v>
      </c>
      <c r="F33" s="37">
        <v>15280.48</v>
      </c>
      <c r="H33" s="20" t="s">
        <v>108</v>
      </c>
      <c r="I33" s="27">
        <v>0.16646500123374144</v>
      </c>
      <c r="K33" s="20" t="s">
        <v>108</v>
      </c>
      <c r="L33" s="27">
        <v>0.20854645096616889</v>
      </c>
    </row>
    <row r="34" spans="2:12" x14ac:dyDescent="0.2">
      <c r="B34" s="20" t="s">
        <v>109</v>
      </c>
      <c r="C34" s="25">
        <v>85287.84</v>
      </c>
      <c r="E34" s="20" t="s">
        <v>109</v>
      </c>
      <c r="F34" s="37">
        <v>18510.02</v>
      </c>
      <c r="H34" s="20" t="s">
        <v>109</v>
      </c>
      <c r="I34" s="27">
        <v>0.16888838442421941</v>
      </c>
      <c r="K34" s="20" t="s">
        <v>109</v>
      </c>
      <c r="L34" s="27">
        <v>0.2170300009942801</v>
      </c>
    </row>
    <row r="35" spans="2:12" x14ac:dyDescent="0.2">
      <c r="B35" s="20" t="s">
        <v>110</v>
      </c>
      <c r="C35" s="25">
        <v>105160.74</v>
      </c>
      <c r="E35" s="20" t="s">
        <v>110</v>
      </c>
      <c r="F35" s="37">
        <v>22332.43</v>
      </c>
      <c r="H35" s="20" t="s">
        <v>110</v>
      </c>
      <c r="I35" s="27">
        <v>0.14532467909386093</v>
      </c>
      <c r="K35" s="20" t="s">
        <v>110</v>
      </c>
      <c r="L35" s="27">
        <v>0.21236470949139383</v>
      </c>
    </row>
    <row r="36" spans="2:12" x14ac:dyDescent="0.2">
      <c r="B36" s="20" t="s">
        <v>111</v>
      </c>
      <c r="C36" s="25">
        <v>122189.29</v>
      </c>
      <c r="E36" s="20" t="s">
        <v>111</v>
      </c>
      <c r="F36" s="37">
        <v>27253.95</v>
      </c>
      <c r="H36" s="20" t="s">
        <v>111</v>
      </c>
      <c r="I36" s="27">
        <v>0.15453702286663359</v>
      </c>
      <c r="K36" s="20" t="s">
        <v>111</v>
      </c>
      <c r="L36" s="27">
        <v>0.22304696262659357</v>
      </c>
    </row>
    <row r="37" spans="2:12" x14ac:dyDescent="0.2">
      <c r="B37" s="20" t="s">
        <v>112</v>
      </c>
      <c r="C37" s="25">
        <v>128552.4</v>
      </c>
      <c r="E37" s="20" t="s">
        <v>112</v>
      </c>
      <c r="F37" s="37">
        <v>31833.21</v>
      </c>
      <c r="H37" s="20" t="s">
        <v>112</v>
      </c>
      <c r="I37" s="27">
        <v>0.15172385820363912</v>
      </c>
      <c r="K37" s="20" t="s">
        <v>112</v>
      </c>
      <c r="L37" s="27">
        <v>0.24762828231911657</v>
      </c>
    </row>
    <row r="38" spans="2:12" x14ac:dyDescent="0.2">
      <c r="B38" s="20" t="s">
        <v>113</v>
      </c>
      <c r="C38" s="25">
        <v>135936.41</v>
      </c>
      <c r="E38" s="20" t="s">
        <v>113</v>
      </c>
      <c r="F38" s="37">
        <v>38052.75</v>
      </c>
      <c r="H38" s="20" t="s">
        <v>113</v>
      </c>
      <c r="I38" s="27">
        <v>0.15385654498268422</v>
      </c>
      <c r="K38" s="20" t="s">
        <v>113</v>
      </c>
      <c r="L38" s="27">
        <v>0.27993052045438011</v>
      </c>
    </row>
    <row r="39" spans="2:12" x14ac:dyDescent="0.2">
      <c r="B39" s="20" t="s">
        <v>114</v>
      </c>
      <c r="C39" s="25">
        <v>170754.05</v>
      </c>
      <c r="E39" s="20" t="s">
        <v>114</v>
      </c>
      <c r="F39" s="37">
        <v>45997.11</v>
      </c>
      <c r="H39" s="20" t="s">
        <v>114</v>
      </c>
      <c r="I39" s="27">
        <v>0.1589189721442453</v>
      </c>
      <c r="K39" s="20" t="s">
        <v>114</v>
      </c>
      <c r="L39" s="27">
        <v>0.26937639253651674</v>
      </c>
    </row>
    <row r="40" spans="2:12" x14ac:dyDescent="0.2">
      <c r="B40" s="20" t="s">
        <v>115</v>
      </c>
      <c r="C40" s="25">
        <v>283649.02</v>
      </c>
      <c r="E40" s="20" t="s">
        <v>115</v>
      </c>
      <c r="F40" s="37">
        <v>64062.04</v>
      </c>
      <c r="H40" s="20" t="s">
        <v>115</v>
      </c>
      <c r="I40" s="27">
        <v>0.1403652645377006</v>
      </c>
      <c r="K40" s="20" t="s">
        <v>115</v>
      </c>
      <c r="L40" s="27">
        <v>0.2258496785922264</v>
      </c>
    </row>
    <row r="41" spans="2:12" x14ac:dyDescent="0.2">
      <c r="B41" s="20" t="s">
        <v>116</v>
      </c>
      <c r="C41" s="25">
        <v>336367.43</v>
      </c>
      <c r="E41" s="20" t="s">
        <v>116</v>
      </c>
      <c r="F41" s="37">
        <v>70792.25</v>
      </c>
      <c r="H41" s="20" t="s">
        <v>116</v>
      </c>
      <c r="I41" s="27">
        <v>0.13567207642915086</v>
      </c>
      <c r="K41" s="20" t="s">
        <v>116</v>
      </c>
      <c r="L41" s="27">
        <v>0.21046107228633879</v>
      </c>
    </row>
    <row r="42" spans="2:12" x14ac:dyDescent="0.2">
      <c r="B42" s="20" t="s">
        <v>106</v>
      </c>
      <c r="C42" s="25">
        <v>1504330.0899999999</v>
      </c>
      <c r="E42" s="20" t="s">
        <v>106</v>
      </c>
      <c r="F42" s="37">
        <v>346915.57</v>
      </c>
      <c r="H42" s="20" t="s">
        <v>106</v>
      </c>
      <c r="I42" s="27">
        <v>1.5480346904795159</v>
      </c>
      <c r="K42" s="20" t="s">
        <v>106</v>
      </c>
      <c r="L42" s="27">
        <v>2.2969100333052932</v>
      </c>
    </row>
    <row r="44" spans="2:12" x14ac:dyDescent="0.2">
      <c r="C44">
        <f>GETPIVOTDATA("Revenue",$B$31)</f>
        <v>1504330.0899999999</v>
      </c>
      <c r="F44">
        <f>GETPIVOTDATA("Profit",$E$31)</f>
        <v>346915.57</v>
      </c>
      <c r="I44">
        <f>GETPIVOTDATA("ROE",$H$31)</f>
        <v>1.5480346904795159</v>
      </c>
      <c r="L44">
        <f>GETPIVOTDATA("Net profit margin",$K$31)</f>
        <v>2.2969100333052932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0791-FC9B-014D-B1FA-CE089F896A74}">
  <dimension ref="V20"/>
  <sheetViews>
    <sheetView showGridLines="0" topLeftCell="A3" zoomScale="89" workbookViewId="0">
      <selection activeCell="F48" sqref="F48"/>
    </sheetView>
  </sheetViews>
  <sheetFormatPr baseColWidth="10" defaultRowHeight="15" x14ac:dyDescent="0.2"/>
  <sheetData>
    <row r="20" spans="22:22" x14ac:dyDescent="0.2">
      <c r="V20" t="e">
        <f>GETPIVOTDATA("Revenue",KPIs!$A$17)</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F407-649C-5B4F-84EB-57F89A54BFD8}">
  <dimension ref="A2:G26"/>
  <sheetViews>
    <sheetView showGridLines="0" workbookViewId="0">
      <selection activeCell="G13" sqref="G13"/>
    </sheetView>
  </sheetViews>
  <sheetFormatPr baseColWidth="10" defaultRowHeight="15" x14ac:dyDescent="0.2"/>
  <cols>
    <col min="1" max="1" width="22.6640625" customWidth="1"/>
    <col min="3" max="3" width="12.5" customWidth="1"/>
    <col min="5" max="5" width="15.5" customWidth="1"/>
    <col min="6" max="6" width="14.33203125" customWidth="1"/>
  </cols>
  <sheetData>
    <row r="2" spans="1:7" x14ac:dyDescent="0.2">
      <c r="A2" s="28" t="s">
        <v>121</v>
      </c>
    </row>
    <row r="3" spans="1:7" x14ac:dyDescent="0.2">
      <c r="A3" s="29" t="s">
        <v>122</v>
      </c>
      <c r="B3" s="29" t="s">
        <v>123</v>
      </c>
    </row>
    <row r="4" spans="1:7" x14ac:dyDescent="0.2">
      <c r="A4" s="29" t="s">
        <v>124</v>
      </c>
      <c r="B4" s="30">
        <v>0.1</v>
      </c>
    </row>
    <row r="5" spans="1:7" x14ac:dyDescent="0.2">
      <c r="A5" s="29" t="s">
        <v>125</v>
      </c>
      <c r="B5" s="30">
        <v>0.12</v>
      </c>
    </row>
    <row r="6" spans="1:7" x14ac:dyDescent="0.2">
      <c r="A6" s="29" t="s">
        <v>126</v>
      </c>
      <c r="B6" s="29">
        <v>5</v>
      </c>
    </row>
    <row r="8" spans="1:7" x14ac:dyDescent="0.2">
      <c r="A8" t="s">
        <v>127</v>
      </c>
    </row>
    <row r="9" spans="1:7" x14ac:dyDescent="0.2">
      <c r="A9" s="28" t="s">
        <v>94</v>
      </c>
      <c r="B9" s="28" t="s">
        <v>95</v>
      </c>
      <c r="C9" s="28" t="s">
        <v>128</v>
      </c>
      <c r="D9" s="28" t="s">
        <v>129</v>
      </c>
      <c r="E9" s="28" t="s">
        <v>130</v>
      </c>
      <c r="F9" s="28" t="s">
        <v>131</v>
      </c>
    </row>
    <row r="10" spans="1:7" x14ac:dyDescent="0.2">
      <c r="A10" s="29">
        <v>2025</v>
      </c>
      <c r="B10" s="29">
        <f>KPIs!B13</f>
        <v>336367.43</v>
      </c>
      <c r="C10" s="29">
        <f>B10*KPIs!K13</f>
        <v>70792.25</v>
      </c>
      <c r="D10" s="29">
        <f>C10</f>
        <v>70792.25</v>
      </c>
      <c r="E10" s="29">
        <f>1/(1+B5)^1</f>
        <v>0.89285714285714279</v>
      </c>
      <c r="F10" s="29">
        <f>D10*E10</f>
        <v>63207.366071428565</v>
      </c>
    </row>
    <row r="11" spans="1:7" x14ac:dyDescent="0.2">
      <c r="A11" s="29">
        <v>2026</v>
      </c>
      <c r="B11" s="29">
        <f>B10*(1+B4)</f>
        <v>370004.17300000001</v>
      </c>
      <c r="C11" s="29">
        <f>B11*KPIs!K13</f>
        <v>77871.475000000006</v>
      </c>
      <c r="D11" s="29">
        <f t="shared" ref="D11:D15" si="0">C11</f>
        <v>77871.475000000006</v>
      </c>
      <c r="E11" s="29">
        <f>1/(1+B5)^2</f>
        <v>0.79719387755102034</v>
      </c>
      <c r="F11" s="29">
        <f t="shared" ref="F11:F15" si="1">D11*E11</f>
        <v>62078.663105867345</v>
      </c>
    </row>
    <row r="12" spans="1:7" x14ac:dyDescent="0.2">
      <c r="A12" s="29">
        <v>2027</v>
      </c>
      <c r="B12" s="29">
        <f>B11*(1+B4)</f>
        <v>407004.59030000004</v>
      </c>
      <c r="C12" s="30">
        <f>B12*KPIs!K13</f>
        <v>85658.622500000012</v>
      </c>
      <c r="D12" s="29">
        <f t="shared" si="0"/>
        <v>85658.622500000012</v>
      </c>
      <c r="E12" s="29">
        <f>1/(1+B5)^3</f>
        <v>0.71178024781341087</v>
      </c>
      <c r="F12" s="29">
        <f t="shared" si="1"/>
        <v>60970.115550405419</v>
      </c>
    </row>
    <row r="13" spans="1:7" x14ac:dyDescent="0.2">
      <c r="A13" s="29">
        <v>2028</v>
      </c>
      <c r="B13" s="29">
        <f>B12*(1+B4)</f>
        <v>447705.04933000007</v>
      </c>
      <c r="C13" s="29">
        <f>B13*KPIs!K13</f>
        <v>94224.484750000018</v>
      </c>
      <c r="D13" s="29">
        <f t="shared" si="0"/>
        <v>94224.484750000018</v>
      </c>
      <c r="E13" s="29">
        <f>1/(1+B5)^4</f>
        <v>0.63551807840483121</v>
      </c>
      <c r="F13" s="29">
        <f t="shared" si="1"/>
        <v>59881.363487005336</v>
      </c>
    </row>
    <row r="14" spans="1:7" x14ac:dyDescent="0.2">
      <c r="A14" s="29">
        <v>2029</v>
      </c>
      <c r="B14" s="29">
        <f>B13*(1+B4)</f>
        <v>492475.55426300009</v>
      </c>
      <c r="C14" s="29">
        <f>B14*KPIs!K13</f>
        <v>103646.93322500002</v>
      </c>
      <c r="D14" s="29">
        <f t="shared" si="0"/>
        <v>103646.93322500002</v>
      </c>
      <c r="E14" s="29">
        <f>1/(1+B5)^5</f>
        <v>0.56742685571859919</v>
      </c>
      <c r="F14" s="29">
        <f t="shared" si="1"/>
        <v>58812.053424737365</v>
      </c>
    </row>
    <row r="15" spans="1:7" x14ac:dyDescent="0.2">
      <c r="A15" s="29">
        <v>2030</v>
      </c>
      <c r="B15" s="29">
        <f>B14*(1+B4)</f>
        <v>541723.10968930018</v>
      </c>
      <c r="C15" s="29">
        <f>B15*KPIs!K13</f>
        <v>114011.62654750004</v>
      </c>
      <c r="D15" s="29">
        <f t="shared" si="0"/>
        <v>114011.62654750004</v>
      </c>
      <c r="E15" s="29">
        <f>1/(1+B5)^6</f>
        <v>0.50663112117732068</v>
      </c>
      <c r="F15" s="29">
        <f t="shared" si="1"/>
        <v>57761.838185009925</v>
      </c>
    </row>
    <row r="16" spans="1:7" x14ac:dyDescent="0.2">
      <c r="E16" s="28"/>
      <c r="F16" s="31">
        <f>SUM(F10:F15)</f>
        <v>362711.39982445398</v>
      </c>
      <c r="G16">
        <f>F16*10</f>
        <v>3627113.9982445398</v>
      </c>
    </row>
    <row r="17" spans="1:6" x14ac:dyDescent="0.2">
      <c r="E17" s="28" t="s">
        <v>132</v>
      </c>
      <c r="F17" s="28">
        <f>1538.81</f>
        <v>1538.81</v>
      </c>
    </row>
    <row r="19" spans="1:6" x14ac:dyDescent="0.2">
      <c r="A19" s="28" t="s">
        <v>43</v>
      </c>
      <c r="B19" s="28">
        <v>742</v>
      </c>
    </row>
    <row r="20" spans="1:6" x14ac:dyDescent="0.2">
      <c r="A20" s="28" t="s">
        <v>133</v>
      </c>
      <c r="B20" s="28">
        <f>G16/F17</f>
        <v>2357.0902179245909</v>
      </c>
    </row>
    <row r="21" spans="1:6" x14ac:dyDescent="0.2">
      <c r="A21" s="28" t="s">
        <v>134</v>
      </c>
      <c r="B21" s="28">
        <f>(B20-B19)/B19</f>
        <v>2.1766714527285593</v>
      </c>
    </row>
    <row r="23" spans="1:6" x14ac:dyDescent="0.2">
      <c r="A23" s="28" t="s">
        <v>135</v>
      </c>
      <c r="B23" s="29" t="s">
        <v>136</v>
      </c>
      <c r="C23" s="29"/>
      <c r="D23" s="29"/>
      <c r="E23" s="29"/>
    </row>
    <row r="24" spans="1:6" x14ac:dyDescent="0.2">
      <c r="B24" s="29" t="s">
        <v>137</v>
      </c>
      <c r="C24" s="29"/>
      <c r="D24" s="29"/>
      <c r="E24" s="29"/>
    </row>
    <row r="25" spans="1:6" x14ac:dyDescent="0.2">
      <c r="B25" s="29" t="s">
        <v>138</v>
      </c>
      <c r="C25" s="29"/>
      <c r="D25" s="29"/>
      <c r="E25" s="29"/>
    </row>
    <row r="26" spans="1:6" x14ac:dyDescent="0.2">
      <c r="B26" s="29"/>
      <c r="C26" s="29"/>
      <c r="D26" s="29"/>
      <c r="E26"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10" defaultColWidth="8.83203125" defaultRowHeight="15" x14ac:dyDescent="0.2"/>
  <cols>
    <col min="1" max="1" width="20.6640625" customWidth="1"/>
    <col min="2" max="11" width="13.5" bestFit="1" customWidth="1"/>
  </cols>
  <sheetData>
    <row r="1" spans="1:11" s="2" customFormat="1" x14ac:dyDescent="0.2">
      <c r="A1" s="2" t="str">
        <f>'Profit &amp; Loss'!A1</f>
        <v>HDFC BANK LTD</v>
      </c>
      <c r="E1" t="str">
        <f>UPDATE</f>
        <v/>
      </c>
      <c r="J1" s="2" t="s">
        <v>1</v>
      </c>
    </row>
    <row r="3" spans="1:11" s="2" customFormat="1" x14ac:dyDescent="0.2">
      <c r="A3" s="11" t="s">
        <v>2</v>
      </c>
      <c r="B3" s="12">
        <f>'Data Sheet'!B41</f>
        <v>45199</v>
      </c>
      <c r="C3" s="12">
        <f>'Data Sheet'!C41</f>
        <v>45291</v>
      </c>
      <c r="D3" s="12">
        <f>'Data Sheet'!D41</f>
        <v>45382</v>
      </c>
      <c r="E3" s="12">
        <f>'Data Sheet'!E41</f>
        <v>45473</v>
      </c>
      <c r="F3" s="12">
        <f>'Data Sheet'!F41</f>
        <v>45565</v>
      </c>
      <c r="G3" s="12">
        <f>'Data Sheet'!G41</f>
        <v>45657</v>
      </c>
      <c r="H3" s="12">
        <f>'Data Sheet'!H41</f>
        <v>45747</v>
      </c>
      <c r="I3" s="12">
        <f>'Data Sheet'!I41</f>
        <v>45838</v>
      </c>
      <c r="J3" s="12">
        <f>'Data Sheet'!J41</f>
        <v>45930</v>
      </c>
      <c r="K3" s="12">
        <f>'Data Sheet'!K41</f>
        <v>46022</v>
      </c>
    </row>
    <row r="4" spans="1:11" s="2" customFormat="1" x14ac:dyDescent="0.2">
      <c r="A4" s="2" t="s">
        <v>6</v>
      </c>
      <c r="B4" s="1">
        <f>'Data Sheet'!B42</f>
        <v>75039.100000000006</v>
      </c>
      <c r="C4" s="1">
        <f>'Data Sheet'!C42</f>
        <v>78008.17</v>
      </c>
      <c r="D4" s="1">
        <f>'Data Sheet'!D42</f>
        <v>79433.61</v>
      </c>
      <c r="E4" s="1">
        <f>'Data Sheet'!E42</f>
        <v>81546.2</v>
      </c>
      <c r="F4" s="1">
        <f>'Data Sheet'!F42</f>
        <v>83001.72</v>
      </c>
      <c r="G4" s="1">
        <f>'Data Sheet'!G42</f>
        <v>85040.17</v>
      </c>
      <c r="H4" s="1">
        <f>'Data Sheet'!H42</f>
        <v>86779.34</v>
      </c>
      <c r="I4" s="1">
        <f>'Data Sheet'!I42</f>
        <v>87371.87</v>
      </c>
      <c r="J4" s="1">
        <f>'Data Sheet'!J42</f>
        <v>86993.84</v>
      </c>
      <c r="K4" s="1">
        <f>'Data Sheet'!K42</f>
        <v>87066.94</v>
      </c>
    </row>
    <row r="5" spans="1:11" x14ac:dyDescent="0.2">
      <c r="A5" t="s">
        <v>7</v>
      </c>
      <c r="B5" s="6">
        <f>'Data Sheet'!B43</f>
        <v>45349.33</v>
      </c>
      <c r="C5" s="6">
        <f>'Data Sheet'!C43</f>
        <v>50530.03</v>
      </c>
      <c r="D5" s="6">
        <f>'Data Sheet'!D43</f>
        <v>62938.45</v>
      </c>
      <c r="E5" s="6">
        <f>'Data Sheet'!E43</f>
        <v>49689.62</v>
      </c>
      <c r="F5" s="6">
        <f>'Data Sheet'!F43</f>
        <v>52074.11</v>
      </c>
      <c r="G5" s="6">
        <f>'Data Sheet'!G43</f>
        <v>41306.79</v>
      </c>
      <c r="H5" s="6">
        <f>'Data Sheet'!H43</f>
        <v>47709.16</v>
      </c>
      <c r="I5" s="6">
        <f>'Data Sheet'!I43</f>
        <v>64496.63</v>
      </c>
      <c r="J5" s="6">
        <f>'Data Sheet'!J43</f>
        <v>45160.88</v>
      </c>
      <c r="K5" s="6">
        <f>'Data Sheet'!K43</f>
        <v>54144.75</v>
      </c>
    </row>
    <row r="6" spans="1:11" s="2" customFormat="1" x14ac:dyDescent="0.2">
      <c r="A6" s="2" t="s">
        <v>8</v>
      </c>
      <c r="B6" s="1">
        <f>'Data Sheet'!B50</f>
        <v>29689.77</v>
      </c>
      <c r="C6" s="1">
        <f>'Data Sheet'!C50</f>
        <v>27478.14</v>
      </c>
      <c r="D6" s="1">
        <f>'Data Sheet'!D50</f>
        <v>16495.16</v>
      </c>
      <c r="E6" s="1">
        <f>'Data Sheet'!E50</f>
        <v>31856.58</v>
      </c>
      <c r="F6" s="1">
        <f>'Data Sheet'!F50</f>
        <v>30927.61</v>
      </c>
      <c r="G6" s="1">
        <f>'Data Sheet'!G50</f>
        <v>43733.38</v>
      </c>
      <c r="H6" s="1">
        <f>'Data Sheet'!H50</f>
        <v>39070.18</v>
      </c>
      <c r="I6" s="1">
        <f>'Data Sheet'!I50</f>
        <v>22875.24</v>
      </c>
      <c r="J6" s="1">
        <f>'Data Sheet'!J50</f>
        <v>41832.959999999999</v>
      </c>
      <c r="K6" s="1">
        <f>'Data Sheet'!K50</f>
        <v>32922.19</v>
      </c>
    </row>
    <row r="7" spans="1:11" x14ac:dyDescent="0.2">
      <c r="A7" t="s">
        <v>9</v>
      </c>
      <c r="B7" s="6">
        <f>'Data Sheet'!B44</f>
        <v>32527.52</v>
      </c>
      <c r="C7" s="6">
        <f>'Data Sheet'!C44</f>
        <v>37007.339999999997</v>
      </c>
      <c r="D7" s="6">
        <f>'Data Sheet'!D44</f>
        <v>44957.74</v>
      </c>
      <c r="E7" s="6">
        <f>'Data Sheet'!E44</f>
        <v>35450.29</v>
      </c>
      <c r="F7" s="6">
        <f>'Data Sheet'!F44</f>
        <v>38455.019999999997</v>
      </c>
      <c r="G7" s="6">
        <f>'Data Sheet'!G44</f>
        <v>27153.77</v>
      </c>
      <c r="H7" s="6">
        <f>'Data Sheet'!H44</f>
        <v>33489.42</v>
      </c>
      <c r="I7" s="6">
        <f>'Data Sheet'!I44</f>
        <v>45683.1</v>
      </c>
      <c r="J7" s="6">
        <f>'Data Sheet'!J44</f>
        <v>31566.79</v>
      </c>
      <c r="K7" s="6">
        <f>'Data Sheet'!K44</f>
        <v>39860.33</v>
      </c>
    </row>
    <row r="8" spans="1:11" x14ac:dyDescent="0.2">
      <c r="A8" t="s">
        <v>10</v>
      </c>
      <c r="B8" s="6">
        <f>'Data Sheet'!B45</f>
        <v>0</v>
      </c>
      <c r="C8" s="6">
        <f>'Data Sheet'!C45</f>
        <v>0</v>
      </c>
      <c r="D8" s="6">
        <f>'Data Sheet'!D45</f>
        <v>0</v>
      </c>
      <c r="E8" s="6">
        <f>'Data Sheet'!E45</f>
        <v>0</v>
      </c>
      <c r="F8" s="6">
        <f>'Data Sheet'!F45</f>
        <v>0</v>
      </c>
      <c r="G8" s="6">
        <f>'Data Sheet'!G45</f>
        <v>0</v>
      </c>
      <c r="H8" s="6">
        <f>'Data Sheet'!H45</f>
        <v>0</v>
      </c>
      <c r="I8" s="6">
        <f>'Data Sheet'!I45</f>
        <v>0</v>
      </c>
      <c r="J8" s="6">
        <f>'Data Sheet'!J45</f>
        <v>0</v>
      </c>
      <c r="K8" s="6">
        <f>'Data Sheet'!K45</f>
        <v>0</v>
      </c>
    </row>
    <row r="9" spans="1:11" x14ac:dyDescent="0.2">
      <c r="A9" t="s">
        <v>11</v>
      </c>
      <c r="B9" s="6">
        <f>'Data Sheet'!B46</f>
        <v>41249.910000000003</v>
      </c>
      <c r="C9" s="6">
        <f>'Data Sheet'!C46</f>
        <v>43242.37</v>
      </c>
      <c r="D9" s="6">
        <f>'Data Sheet'!D46</f>
        <v>43691.51</v>
      </c>
      <c r="E9" s="6">
        <f>'Data Sheet'!E46</f>
        <v>44579.5</v>
      </c>
      <c r="F9" s="6">
        <f>'Data Sheet'!F46</f>
        <v>45414.21</v>
      </c>
      <c r="G9" s="6">
        <f>'Data Sheet'!G46</f>
        <v>46914.28</v>
      </c>
      <c r="H9" s="6">
        <f>'Data Sheet'!H46</f>
        <v>46986.21</v>
      </c>
      <c r="I9" s="6">
        <f>'Data Sheet'!I46</f>
        <v>47708.51</v>
      </c>
      <c r="J9" s="6">
        <f>'Data Sheet'!J46</f>
        <v>46740.86</v>
      </c>
      <c r="K9" s="6">
        <f>'Data Sheet'!K46</f>
        <v>45821.42</v>
      </c>
    </row>
    <row r="10" spans="1:11" x14ac:dyDescent="0.2">
      <c r="A10" t="s">
        <v>12</v>
      </c>
      <c r="B10" s="6">
        <f>'Data Sheet'!B47</f>
        <v>20967.38</v>
      </c>
      <c r="C10" s="6">
        <f>'Data Sheet'!C47</f>
        <v>21243.11</v>
      </c>
      <c r="D10" s="6">
        <f>'Data Sheet'!D47</f>
        <v>17761.39</v>
      </c>
      <c r="E10" s="6">
        <f>'Data Sheet'!E47</f>
        <v>22727.37</v>
      </c>
      <c r="F10" s="6">
        <f>'Data Sheet'!F47</f>
        <v>23968.42</v>
      </c>
      <c r="G10" s="6">
        <f>'Data Sheet'!G47</f>
        <v>23972.87</v>
      </c>
      <c r="H10" s="6">
        <f>'Data Sheet'!H47</f>
        <v>25573.39</v>
      </c>
      <c r="I10" s="6">
        <f>'Data Sheet'!I47</f>
        <v>20849.830000000002</v>
      </c>
      <c r="J10" s="6">
        <f>'Data Sheet'!J47</f>
        <v>26658.89</v>
      </c>
      <c r="K10" s="6">
        <f>'Data Sheet'!K47</f>
        <v>26961.1</v>
      </c>
    </row>
    <row r="11" spans="1:11" x14ac:dyDescent="0.2">
      <c r="A11" t="s">
        <v>13</v>
      </c>
      <c r="B11" s="6">
        <f>'Data Sheet'!B48</f>
        <v>3655</v>
      </c>
      <c r="C11" s="6">
        <f>'Data Sheet'!C48</f>
        <v>3525.11</v>
      </c>
      <c r="D11" s="6">
        <f>'Data Sheet'!D48</f>
        <v>-251.48</v>
      </c>
      <c r="E11" s="6">
        <f>'Data Sheet'!E48</f>
        <v>5539.32</v>
      </c>
      <c r="F11" s="6">
        <f>'Data Sheet'!F48</f>
        <v>5340.98</v>
      </c>
      <c r="G11" s="6">
        <f>'Data Sheet'!G48</f>
        <v>5632.76</v>
      </c>
      <c r="H11" s="6">
        <f>'Data Sheet'!H48</f>
        <v>6288.82</v>
      </c>
      <c r="I11" s="6">
        <f>'Data Sheet'!I48</f>
        <v>3759.4</v>
      </c>
      <c r="J11" s="6">
        <f>'Data Sheet'!J48</f>
        <v>6295.12</v>
      </c>
      <c r="K11" s="6">
        <f>'Data Sheet'!K48</f>
        <v>6270.06</v>
      </c>
    </row>
    <row r="12" spans="1:11" s="2" customFormat="1" x14ac:dyDescent="0.2">
      <c r="A12" s="2" t="s">
        <v>14</v>
      </c>
      <c r="B12" s="1">
        <f>'Data Sheet'!B49</f>
        <v>16811.41</v>
      </c>
      <c r="C12" s="1">
        <f>'Data Sheet'!C49</f>
        <v>17257.87</v>
      </c>
      <c r="D12" s="1">
        <f>'Data Sheet'!D49</f>
        <v>17622.38</v>
      </c>
      <c r="E12" s="1">
        <f>'Data Sheet'!E49</f>
        <v>16474.849999999999</v>
      </c>
      <c r="F12" s="1">
        <f>'Data Sheet'!F49</f>
        <v>17825.91</v>
      </c>
      <c r="G12" s="1">
        <f>'Data Sheet'!G49</f>
        <v>17656.61</v>
      </c>
      <c r="H12" s="1">
        <f>'Data Sheet'!H49</f>
        <v>18834.88</v>
      </c>
      <c r="I12" s="1">
        <f>'Data Sheet'!I49</f>
        <v>16257.91</v>
      </c>
      <c r="J12" s="1">
        <f>'Data Sheet'!J49</f>
        <v>19610.669999999998</v>
      </c>
      <c r="K12" s="1">
        <f>'Data Sheet'!K49</f>
        <v>19806.63</v>
      </c>
    </row>
    <row r="14" spans="1:11" s="2" customFormat="1" x14ac:dyDescent="0.2">
      <c r="A14" s="2" t="s">
        <v>18</v>
      </c>
      <c r="B14" s="10">
        <f>IF(B4&gt;0,B6/B4,"")</f>
        <v>0.39565733064495706</v>
      </c>
      <c r="C14" s="10">
        <f t="shared" ref="C14:K14" si="0">IF(C4&gt;0,C6/C4,"")</f>
        <v>0.35224695054376998</v>
      </c>
      <c r="D14" s="10">
        <f t="shared" si="0"/>
        <v>0.20765970475218234</v>
      </c>
      <c r="E14" s="10">
        <f t="shared" si="0"/>
        <v>0.39065683011593433</v>
      </c>
      <c r="F14" s="10">
        <f t="shared" si="0"/>
        <v>0.37261408558762399</v>
      </c>
      <c r="G14" s="10">
        <f t="shared" si="0"/>
        <v>0.51426731625771682</v>
      </c>
      <c r="H14" s="10">
        <f t="shared" si="0"/>
        <v>0.45022444282245061</v>
      </c>
      <c r="I14" s="10">
        <f t="shared" si="0"/>
        <v>0.26181470077268582</v>
      </c>
      <c r="J14" s="10">
        <f t="shared" si="0"/>
        <v>0.48087266868550693</v>
      </c>
      <c r="K14" s="10">
        <f t="shared" si="0"/>
        <v>0.37812503804543951</v>
      </c>
    </row>
    <row r="22" s="23" customFormat="1" x14ac:dyDescent="0.2"/>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zoomScale="125" workbookViewId="0">
      <pane xSplit="1" ySplit="3" topLeftCell="I4" activePane="bottomRight" state="frozen"/>
      <selection activeCell="C4" sqref="C4"/>
      <selection pane="topRight" activeCell="C4" sqref="C4"/>
      <selection pane="bottomLeft" activeCell="C4" sqref="C4"/>
      <selection pane="bottomRight" activeCell="C1" sqref="C1"/>
    </sheetView>
  </sheetViews>
  <sheetFormatPr baseColWidth="10" defaultColWidth="8.83203125" defaultRowHeight="15" x14ac:dyDescent="0.2"/>
  <cols>
    <col min="1" max="1" width="22.83203125" bestFit="1" customWidth="1"/>
    <col min="2" max="2" width="13.5" customWidth="1"/>
    <col min="3" max="11" width="15.5" customWidth="1"/>
  </cols>
  <sheetData>
    <row r="1" spans="1:11" s="2" customFormat="1" x14ac:dyDescent="0.2">
      <c r="A1" s="2" t="str">
        <f>'Profit &amp; Loss'!A1</f>
        <v>HDFC BANK LTD</v>
      </c>
      <c r="E1" t="str">
        <f>UPDATE</f>
        <v/>
      </c>
      <c r="G1"/>
      <c r="J1" s="2" t="s">
        <v>1</v>
      </c>
    </row>
    <row r="2" spans="1:11" x14ac:dyDescent="0.2">
      <c r="G2" s="2"/>
      <c r="H2" s="2"/>
    </row>
    <row r="3" spans="1:11" x14ac:dyDescent="0.2">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2">
      <c r="A4" t="s">
        <v>24</v>
      </c>
      <c r="B4" s="14">
        <f>'Data Sheet'!B57</f>
        <v>505.64</v>
      </c>
      <c r="C4" s="14">
        <f>'Data Sheet'!C57</f>
        <v>512.51</v>
      </c>
      <c r="D4" s="14">
        <f>'Data Sheet'!D57</f>
        <v>519.02</v>
      </c>
      <c r="E4" s="14">
        <f>'Data Sheet'!E57</f>
        <v>544.66</v>
      </c>
      <c r="F4" s="14">
        <f>'Data Sheet'!F57</f>
        <v>548.33000000000004</v>
      </c>
      <c r="G4" s="14">
        <f>'Data Sheet'!G57</f>
        <v>551.28</v>
      </c>
      <c r="H4" s="14">
        <f>'Data Sheet'!H57</f>
        <v>554.54999999999995</v>
      </c>
      <c r="I4" s="14">
        <f>'Data Sheet'!I57</f>
        <v>557.97</v>
      </c>
      <c r="J4" s="14">
        <f>'Data Sheet'!J57</f>
        <v>759.69</v>
      </c>
      <c r="K4" s="14">
        <f>'Data Sheet'!K57</f>
        <v>765.22</v>
      </c>
    </row>
    <row r="5" spans="1:11" x14ac:dyDescent="0.2">
      <c r="A5" t="s">
        <v>25</v>
      </c>
      <c r="B5" s="14">
        <f>'Data Sheet'!B58</f>
        <v>73798.490000000005</v>
      </c>
      <c r="C5" s="14">
        <f>'Data Sheet'!C58</f>
        <v>91281.44</v>
      </c>
      <c r="D5" s="14">
        <f>'Data Sheet'!D58</f>
        <v>109080.11</v>
      </c>
      <c r="E5" s="14">
        <f>'Data Sheet'!E58</f>
        <v>153128</v>
      </c>
      <c r="F5" s="14">
        <f>'Data Sheet'!F58</f>
        <v>175810.38</v>
      </c>
      <c r="G5" s="14">
        <f>'Data Sheet'!G58</f>
        <v>209258.9</v>
      </c>
      <c r="H5" s="14">
        <f>'Data Sheet'!H58</f>
        <v>246771.62</v>
      </c>
      <c r="I5" s="14">
        <f>'Data Sheet'!I58</f>
        <v>288879.53000000003</v>
      </c>
      <c r="J5" s="14">
        <f>'Data Sheet'!J58</f>
        <v>455635.56</v>
      </c>
      <c r="K5" s="14">
        <f>'Data Sheet'!K58</f>
        <v>521024.17</v>
      </c>
    </row>
    <row r="6" spans="1:11" x14ac:dyDescent="0.2">
      <c r="A6" t="s">
        <v>71</v>
      </c>
      <c r="B6" s="14">
        <f>'Data Sheet'!B59</f>
        <v>649587.25</v>
      </c>
      <c r="C6" s="14">
        <f>'Data Sheet'!C59</f>
        <v>741549.89</v>
      </c>
      <c r="D6" s="14">
        <f>'Data Sheet'!D59</f>
        <v>944817.22</v>
      </c>
      <c r="E6" s="14">
        <f>'Data Sheet'!E59</f>
        <v>1080235.46</v>
      </c>
      <c r="F6" s="14">
        <f>'Data Sheet'!F59</f>
        <v>1333041.45</v>
      </c>
      <c r="G6" s="14">
        <f>'Data Sheet'!G59</f>
        <v>1511417.62</v>
      </c>
      <c r="H6" s="14">
        <f>'Data Sheet'!H59</f>
        <v>1784969.53</v>
      </c>
      <c r="I6" s="14">
        <f>'Data Sheet'!I59</f>
        <v>2139211.91</v>
      </c>
      <c r="J6" s="14">
        <f>'Data Sheet'!J59</f>
        <v>3107502.74</v>
      </c>
      <c r="K6" s="14">
        <f>'Data Sheet'!K59</f>
        <v>3345503.8</v>
      </c>
    </row>
    <row r="7" spans="1:11" x14ac:dyDescent="0.2">
      <c r="A7" t="s">
        <v>72</v>
      </c>
      <c r="B7" s="14">
        <f>'Data Sheet'!B60</f>
        <v>38320.949999999997</v>
      </c>
      <c r="C7" s="14">
        <f>'Data Sheet'!C60</f>
        <v>59000.32</v>
      </c>
      <c r="D7" s="14">
        <f>'Data Sheet'!D60</f>
        <v>48769.82</v>
      </c>
      <c r="E7" s="14">
        <f>'Data Sheet'!E60</f>
        <v>58897.59</v>
      </c>
      <c r="F7" s="14">
        <f>'Data Sheet'!F60</f>
        <v>71430.27</v>
      </c>
      <c r="G7" s="14">
        <f>'Data Sheet'!G60</f>
        <v>78278.83</v>
      </c>
      <c r="H7" s="14">
        <f>'Data Sheet'!H60</f>
        <v>90638.6</v>
      </c>
      <c r="I7" s="14">
        <f>'Data Sheet'!I60</f>
        <v>101783.03</v>
      </c>
      <c r="J7" s="14">
        <f>'Data Sheet'!J60</f>
        <v>466296.27</v>
      </c>
      <c r="K7" s="14">
        <f>'Data Sheet'!K60</f>
        <v>524816.64000000001</v>
      </c>
    </row>
    <row r="8" spans="1:11" s="2" customFormat="1" x14ac:dyDescent="0.2">
      <c r="A8" s="2" t="s">
        <v>26</v>
      </c>
      <c r="B8" s="15">
        <f>'Data Sheet'!B61</f>
        <v>762212.33</v>
      </c>
      <c r="C8" s="15">
        <f>'Data Sheet'!C61</f>
        <v>892344.16</v>
      </c>
      <c r="D8" s="15">
        <f>'Data Sheet'!D61</f>
        <v>1103186.17</v>
      </c>
      <c r="E8" s="15">
        <f>'Data Sheet'!E61</f>
        <v>1292805.71</v>
      </c>
      <c r="F8" s="15">
        <f>'Data Sheet'!F61</f>
        <v>1580830.43</v>
      </c>
      <c r="G8" s="15">
        <f>'Data Sheet'!G61</f>
        <v>1799506.63</v>
      </c>
      <c r="H8" s="15">
        <f>'Data Sheet'!H61</f>
        <v>2122934.2999999998</v>
      </c>
      <c r="I8" s="15">
        <f>'Data Sheet'!I61</f>
        <v>2530432.44</v>
      </c>
      <c r="J8" s="15">
        <f>'Data Sheet'!J61</f>
        <v>4030194.26</v>
      </c>
      <c r="K8" s="15">
        <f>'Data Sheet'!K61</f>
        <v>4392109.83</v>
      </c>
    </row>
    <row r="9" spans="1:11" s="2" customFormat="1" x14ac:dyDescent="0.2">
      <c r="B9" s="15"/>
      <c r="C9" s="15"/>
      <c r="D9" s="15"/>
      <c r="E9" s="15"/>
      <c r="F9" s="15"/>
      <c r="G9" s="15"/>
      <c r="H9" s="15"/>
      <c r="I9" s="15"/>
      <c r="J9" s="15"/>
      <c r="K9" s="15"/>
    </row>
    <row r="10" spans="1:11" x14ac:dyDescent="0.2">
      <c r="A10" t="s">
        <v>27</v>
      </c>
      <c r="B10" s="14">
        <f>'Data Sheet'!B62</f>
        <v>3666.86</v>
      </c>
      <c r="C10" s="14">
        <f>'Data Sheet'!C62</f>
        <v>3999.7</v>
      </c>
      <c r="D10" s="14">
        <f>'Data Sheet'!D62</f>
        <v>4008.13</v>
      </c>
      <c r="E10" s="14">
        <f>'Data Sheet'!E62</f>
        <v>4368.63</v>
      </c>
      <c r="F10" s="14">
        <f>'Data Sheet'!F62</f>
        <v>4775.6499999999996</v>
      </c>
      <c r="G10" s="14">
        <f>'Data Sheet'!G62</f>
        <v>5248.35</v>
      </c>
      <c r="H10" s="14">
        <f>'Data Sheet'!H62</f>
        <v>6432.07</v>
      </c>
      <c r="I10" s="14">
        <f>'Data Sheet'!I62</f>
        <v>8431.35</v>
      </c>
      <c r="J10" s="14">
        <f>'Data Sheet'!J62</f>
        <v>12603.76</v>
      </c>
      <c r="K10" s="14">
        <f>'Data Sheet'!K62</f>
        <v>15257.94</v>
      </c>
    </row>
    <row r="11" spans="1:11" x14ac:dyDescent="0.2">
      <c r="A11" t="s">
        <v>28</v>
      </c>
      <c r="B11" s="14">
        <f>'Data Sheet'!B63</f>
        <v>0</v>
      </c>
      <c r="C11" s="14">
        <f>'Data Sheet'!C63</f>
        <v>0</v>
      </c>
      <c r="D11" s="14">
        <f>'Data Sheet'!D63</f>
        <v>0</v>
      </c>
      <c r="E11" s="14">
        <f>'Data Sheet'!E63</f>
        <v>0</v>
      </c>
      <c r="F11" s="14">
        <f>'Data Sheet'!F63</f>
        <v>0</v>
      </c>
      <c r="G11" s="14">
        <f>'Data Sheet'!G63</f>
        <v>0</v>
      </c>
      <c r="H11" s="14">
        <f>'Data Sheet'!H63</f>
        <v>0</v>
      </c>
      <c r="I11" s="14">
        <f>'Data Sheet'!I63</f>
        <v>0</v>
      </c>
      <c r="J11" s="14">
        <f>'Data Sheet'!J63</f>
        <v>0</v>
      </c>
      <c r="K11" s="14">
        <f>'Data Sheet'!K63</f>
        <v>0</v>
      </c>
    </row>
    <row r="12" spans="1:11" x14ac:dyDescent="0.2">
      <c r="A12" t="s">
        <v>29</v>
      </c>
      <c r="B12" s="14">
        <f>'Data Sheet'!B64</f>
        <v>193633.85</v>
      </c>
      <c r="C12" s="14">
        <f>'Data Sheet'!C64</f>
        <v>210777.11</v>
      </c>
      <c r="D12" s="14">
        <f>'Data Sheet'!D64</f>
        <v>238460.92</v>
      </c>
      <c r="E12" s="14">
        <f>'Data Sheet'!E64</f>
        <v>289445.87</v>
      </c>
      <c r="F12" s="14">
        <f>'Data Sheet'!F64</f>
        <v>389304.95</v>
      </c>
      <c r="G12" s="14">
        <f>'Data Sheet'!G64</f>
        <v>438823.11</v>
      </c>
      <c r="H12" s="14">
        <f>'Data Sheet'!H64</f>
        <v>449263.86</v>
      </c>
      <c r="I12" s="14">
        <f>'Data Sheet'!I64</f>
        <v>511581.71</v>
      </c>
      <c r="J12" s="14">
        <f>'Data Sheet'!J64</f>
        <v>1005681.63</v>
      </c>
      <c r="K12" s="14">
        <f>'Data Sheet'!K64</f>
        <v>1186472.8899999999</v>
      </c>
    </row>
    <row r="13" spans="1:11" x14ac:dyDescent="0.2">
      <c r="A13" t="s">
        <v>73</v>
      </c>
      <c r="B13" s="14">
        <f>'Data Sheet'!B65</f>
        <v>564911.62</v>
      </c>
      <c r="C13" s="14">
        <f>'Data Sheet'!C65</f>
        <v>677567.35</v>
      </c>
      <c r="D13" s="14">
        <f>'Data Sheet'!D65</f>
        <v>860717.12</v>
      </c>
      <c r="E13" s="14">
        <f>'Data Sheet'!E65</f>
        <v>998991.21</v>
      </c>
      <c r="F13" s="14">
        <f>'Data Sheet'!F65</f>
        <v>1186749.83</v>
      </c>
      <c r="G13" s="14">
        <f>'Data Sheet'!G65</f>
        <v>1355435.17</v>
      </c>
      <c r="H13" s="14">
        <f>'Data Sheet'!H65</f>
        <v>1667238.37</v>
      </c>
      <c r="I13" s="14">
        <f>'Data Sheet'!I65</f>
        <v>2010419.38</v>
      </c>
      <c r="J13" s="14">
        <f>'Data Sheet'!J65</f>
        <v>3011908.87</v>
      </c>
      <c r="K13" s="14">
        <f>'Data Sheet'!K65</f>
        <v>3190379</v>
      </c>
    </row>
    <row r="14" spans="1:11" s="2" customFormat="1" x14ac:dyDescent="0.2">
      <c r="A14" s="2" t="s">
        <v>26</v>
      </c>
      <c r="B14" s="14">
        <f>'Data Sheet'!B66</f>
        <v>762212.33</v>
      </c>
      <c r="C14" s="14">
        <f>'Data Sheet'!C66</f>
        <v>892344.16</v>
      </c>
      <c r="D14" s="14">
        <f>'Data Sheet'!D66</f>
        <v>1103186.17</v>
      </c>
      <c r="E14" s="14">
        <f>'Data Sheet'!E66</f>
        <v>1292805.71</v>
      </c>
      <c r="F14" s="14">
        <f>'Data Sheet'!F66</f>
        <v>1580830.43</v>
      </c>
      <c r="G14" s="14">
        <f>'Data Sheet'!G66</f>
        <v>1799506.63</v>
      </c>
      <c r="H14" s="14">
        <f>'Data Sheet'!H66</f>
        <v>2122934.2999999998</v>
      </c>
      <c r="I14" s="14">
        <f>'Data Sheet'!I66</f>
        <v>2530432.44</v>
      </c>
      <c r="J14" s="14">
        <f>'Data Sheet'!J66</f>
        <v>4030194.26</v>
      </c>
      <c r="K14" s="14">
        <f>'Data Sheet'!K66</f>
        <v>4392109.83</v>
      </c>
    </row>
    <row r="15" spans="1:11" x14ac:dyDescent="0.2">
      <c r="B15" s="4"/>
      <c r="C15" s="4"/>
      <c r="D15" s="4"/>
      <c r="E15" s="4"/>
      <c r="F15" s="4"/>
      <c r="G15" s="4"/>
      <c r="H15" s="4"/>
      <c r="I15" s="4"/>
      <c r="J15" s="4"/>
      <c r="K15" s="4"/>
    </row>
    <row r="16" spans="1:11" x14ac:dyDescent="0.2">
      <c r="A16" t="s">
        <v>30</v>
      </c>
      <c r="B16" s="4">
        <f>B13-B7</f>
        <v>526590.67000000004</v>
      </c>
      <c r="C16" s="4">
        <f t="shared" ref="C16:K16" si="0">C13-C7</f>
        <v>618567.03</v>
      </c>
      <c r="D16" s="4">
        <f t="shared" si="0"/>
        <v>811947.3</v>
      </c>
      <c r="E16" s="4">
        <f t="shared" si="0"/>
        <v>940093.62</v>
      </c>
      <c r="F16" s="4">
        <f t="shared" si="0"/>
        <v>1115319.56</v>
      </c>
      <c r="G16" s="4">
        <f t="shared" si="0"/>
        <v>1277156.3399999999</v>
      </c>
      <c r="H16" s="4">
        <f t="shared" si="0"/>
        <v>1576599.77</v>
      </c>
      <c r="I16" s="4">
        <f t="shared" si="0"/>
        <v>1908636.3499999999</v>
      </c>
      <c r="J16" s="4">
        <f t="shared" si="0"/>
        <v>2545612.6</v>
      </c>
      <c r="K16" s="4">
        <f t="shared" si="0"/>
        <v>2665562.36</v>
      </c>
    </row>
    <row r="17" spans="1:11" x14ac:dyDescent="0.2">
      <c r="A17" t="s">
        <v>44</v>
      </c>
      <c r="B17" s="4">
        <f>'Data Sheet'!B67</f>
        <v>0</v>
      </c>
      <c r="C17" s="4">
        <f>'Data Sheet'!C67</f>
        <v>0</v>
      </c>
      <c r="D17" s="4">
        <f>'Data Sheet'!D67</f>
        <v>0</v>
      </c>
      <c r="E17" s="4">
        <f>'Data Sheet'!E67</f>
        <v>0</v>
      </c>
      <c r="F17" s="4">
        <f>'Data Sheet'!F67</f>
        <v>0</v>
      </c>
      <c r="G17" s="4">
        <f>'Data Sheet'!G67</f>
        <v>0</v>
      </c>
      <c r="H17" s="4">
        <f>'Data Sheet'!H67</f>
        <v>0</v>
      </c>
      <c r="I17" s="4">
        <f>'Data Sheet'!I67</f>
        <v>0</v>
      </c>
      <c r="J17" s="4">
        <f>'Data Sheet'!J67</f>
        <v>0</v>
      </c>
      <c r="K17" s="4">
        <f>'Data Sheet'!K67</f>
        <v>0</v>
      </c>
    </row>
    <row r="18" spans="1:11" x14ac:dyDescent="0.2">
      <c r="A18" t="s">
        <v>45</v>
      </c>
      <c r="B18" s="4">
        <f>'Data Sheet'!B68</f>
        <v>0</v>
      </c>
      <c r="C18" s="4">
        <f>'Data Sheet'!C68</f>
        <v>0</v>
      </c>
      <c r="D18" s="4">
        <f>'Data Sheet'!D68</f>
        <v>0</v>
      </c>
      <c r="E18" s="4">
        <f>'Data Sheet'!E68</f>
        <v>0</v>
      </c>
      <c r="F18" s="4">
        <f>'Data Sheet'!F68</f>
        <v>0</v>
      </c>
      <c r="G18" s="4">
        <f>'Data Sheet'!G68</f>
        <v>0</v>
      </c>
      <c r="H18" s="4">
        <f>'Data Sheet'!H68</f>
        <v>0</v>
      </c>
      <c r="I18" s="4">
        <f>'Data Sheet'!I68</f>
        <v>0</v>
      </c>
      <c r="J18" s="4">
        <f>'Data Sheet'!J68</f>
        <v>0</v>
      </c>
      <c r="K18" s="4">
        <f>'Data Sheet'!K68</f>
        <v>0</v>
      </c>
    </row>
    <row r="20" spans="1:11" x14ac:dyDescent="0.2">
      <c r="A20" t="s">
        <v>46</v>
      </c>
      <c r="B20" s="4">
        <f>IF('Profit &amp; Loss'!B4&gt;0,'Balance Sheet'!B17/('Profit &amp; Loss'!B4/365),0)</f>
        <v>0</v>
      </c>
      <c r="C20" s="4">
        <f>IF('Profit &amp; Loss'!C4&gt;0,'Balance Sheet'!C17/('Profit &amp; Loss'!C4/365),0)</f>
        <v>0</v>
      </c>
      <c r="D20" s="4">
        <f>IF('Profit &amp; Loss'!D4&gt;0,'Balance Sheet'!D17/('Profit &amp; Loss'!D4/365),0)</f>
        <v>0</v>
      </c>
      <c r="E20" s="4">
        <f>IF('Profit &amp; Loss'!E4&gt;0,'Balance Sheet'!E17/('Profit &amp; Loss'!E4/365),0)</f>
        <v>0</v>
      </c>
      <c r="F20" s="4">
        <f>IF('Profit &amp; Loss'!F4&gt;0,'Balance Sheet'!F17/('Profit &amp; Loss'!F4/365),0)</f>
        <v>0</v>
      </c>
      <c r="G20" s="4">
        <f>IF('Profit &amp; Loss'!G4&gt;0,'Balance Sheet'!G17/('Profit &amp; Loss'!G4/365),0)</f>
        <v>0</v>
      </c>
      <c r="H20" s="4">
        <f>IF('Profit &amp; Loss'!H4&gt;0,'Balance Sheet'!H17/('Profit &amp; Loss'!H4/365),0)</f>
        <v>0</v>
      </c>
      <c r="I20" s="4">
        <f>IF('Profit &amp; Loss'!I4&gt;0,'Balance Sheet'!I17/('Profit &amp; Loss'!I4/365),0)</f>
        <v>0</v>
      </c>
      <c r="J20" s="4">
        <f>IF('Profit &amp; Loss'!J4&gt;0,'Balance Sheet'!J17/('Profit &amp; Loss'!J4/365),0)</f>
        <v>0</v>
      </c>
      <c r="K20" s="4">
        <f>IF('Profit &amp; Loss'!K4&gt;0,'Balance Sheet'!K17/('Profit &amp; Loss'!K4/365),0)</f>
        <v>0</v>
      </c>
    </row>
    <row r="21" spans="1:11" x14ac:dyDescent="0.2">
      <c r="A21" t="s">
        <v>47</v>
      </c>
      <c r="B21" s="4">
        <f>IF('Balance Sheet'!B18&gt;0,'Profit &amp; Loss'!B4/'Balance Sheet'!B18,0)</f>
        <v>0</v>
      </c>
      <c r="C21" s="4">
        <f>IF('Balance Sheet'!C18&gt;0,'Profit &amp; Loss'!C4/'Balance Sheet'!C18,0)</f>
        <v>0</v>
      </c>
      <c r="D21" s="4">
        <f>IF('Balance Sheet'!D18&gt;0,'Profit &amp; Loss'!D4/'Balance Sheet'!D18,0)</f>
        <v>0</v>
      </c>
      <c r="E21" s="4">
        <f>IF('Balance Sheet'!E18&gt;0,'Profit &amp; Loss'!E4/'Balance Sheet'!E18,0)</f>
        <v>0</v>
      </c>
      <c r="F21" s="4">
        <f>IF('Balance Sheet'!F18&gt;0,'Profit &amp; Loss'!F4/'Balance Sheet'!F18,0)</f>
        <v>0</v>
      </c>
      <c r="G21" s="4">
        <f>IF('Balance Sheet'!G18&gt;0,'Profit &amp; Loss'!G4/'Balance Sheet'!G18,0)</f>
        <v>0</v>
      </c>
      <c r="H21" s="4">
        <f>IF('Balance Sheet'!H18&gt;0,'Profit &amp; Loss'!H4/'Balance Sheet'!H18,0)</f>
        <v>0</v>
      </c>
      <c r="I21" s="4">
        <f>IF('Balance Sheet'!I18&gt;0,'Profit &amp; Loss'!I4/'Balance Sheet'!I18,0)</f>
        <v>0</v>
      </c>
      <c r="J21" s="4">
        <f>IF('Balance Sheet'!J18&gt;0,'Profit &amp; Loss'!J4/'Balance Sheet'!J18,0)</f>
        <v>0</v>
      </c>
      <c r="K21" s="4">
        <f>IF('Balance Sheet'!K18&gt;0,'Profit &amp; Loss'!K4/'Balance Sheet'!K18,0)</f>
        <v>0</v>
      </c>
    </row>
    <row r="23" spans="1:11" s="2" customFormat="1" x14ac:dyDescent="0.2">
      <c r="A23" s="2" t="s">
        <v>59</v>
      </c>
      <c r="B23" s="10">
        <f>IF(SUM('Balance Sheet'!B4:B5)&gt;0,'Profit &amp; Loss'!B12/SUM('Balance Sheet'!B4:B5),"")</f>
        <v>0.17228288656364052</v>
      </c>
      <c r="C23" s="10">
        <f>IF(SUM('Balance Sheet'!C4:C5)&gt;0,'Profit &amp; Loss'!C12/SUM('Balance Sheet'!C4:C5),"")</f>
        <v>0.16646500123374144</v>
      </c>
      <c r="D23" s="10">
        <f>IF(SUM('Balance Sheet'!D4:D5)&gt;0,'Profit &amp; Loss'!D12/SUM('Balance Sheet'!D4:D5),"")</f>
        <v>0.16888838442421941</v>
      </c>
      <c r="E23" s="10">
        <f>IF(SUM('Balance Sheet'!E4:E5)&gt;0,'Profit &amp; Loss'!E12/SUM('Balance Sheet'!E4:E5),"")</f>
        <v>0.14532467909386093</v>
      </c>
      <c r="F23" s="10">
        <f>IF(SUM('Balance Sheet'!F4:F5)&gt;0,'Profit &amp; Loss'!F12/SUM('Balance Sheet'!F4:F5),"")</f>
        <v>0.15453702286663359</v>
      </c>
      <c r="G23" s="10">
        <f>IF(SUM('Balance Sheet'!G4:G5)&gt;0,'Profit &amp; Loss'!G12/SUM('Balance Sheet'!G4:G5),"")</f>
        <v>0.15172385820363912</v>
      </c>
      <c r="H23" s="10">
        <f>IF(SUM('Balance Sheet'!H4:H5)&gt;0,'Profit &amp; Loss'!H12/SUM('Balance Sheet'!H4:H5),"")</f>
        <v>0.15385654498268422</v>
      </c>
      <c r="I23" s="10">
        <f>IF(SUM('Balance Sheet'!I4:I5)&gt;0,'Profit &amp; Loss'!I12/SUM('Balance Sheet'!I4:I5),"")</f>
        <v>0.1589189721442453</v>
      </c>
      <c r="J23" s="10">
        <f>IF(SUM('Balance Sheet'!J4:J5)&gt;0,'Profit &amp; Loss'!J12/SUM('Balance Sheet'!J4:J5),"")</f>
        <v>0.1403652645377006</v>
      </c>
      <c r="K23" s="10">
        <f>IF(SUM('Balance Sheet'!K4:K5)&gt;0,'Profit &amp; Loss'!K12/SUM('Balance Sheet'!K4:K5),"")</f>
        <v>0.13567207642915086</v>
      </c>
    </row>
    <row r="24" spans="1:11" s="2" customFormat="1" x14ac:dyDescent="0.2">
      <c r="A24" s="2" t="s">
        <v>60</v>
      </c>
      <c r="B24" s="10"/>
      <c r="C24" s="10">
        <f>IF((B4+B5+B6+C4+C5+C6)&gt;0,('Profit &amp; Loss'!C10+'Profit &amp; Loss'!C9)*2/(B4+B5+B6+C4+C5+C6),"")</f>
        <v>7.8902081343883296E-2</v>
      </c>
      <c r="D24" s="10">
        <f>IF((C4+C5+C6+D4+D5+D6)&gt;0,('Profit &amp; Loss'!D10+'Profit &amp; Loss'!D9)*2/(C4+C5+C6+D4+D5+D6),"")</f>
        <v>7.5057626890627449E-2</v>
      </c>
      <c r="E24" s="10">
        <f>IF((D4+D5+D6+E4+E5+E6)&gt;0,('Profit &amp; Loss'!E10+'Profit &amp; Loss'!E9)*2/(D4+D5+D6+E4+E5+E6),"")</f>
        <v>7.6939132674659572E-2</v>
      </c>
      <c r="F24" s="10">
        <f>IF((E4+E5+E6+F4+F5+F6)&gt;0,('Profit &amp; Loss'!F10+'Profit &amp; Loss'!F9)*2/(E4+E5+E6+F4+F5+F6),"")</f>
        <v>7.3146923174088177E-2</v>
      </c>
      <c r="G24" s="10">
        <f>IF((F4+F5+F6+G4+G5+G6)&gt;0,('Profit &amp; Loss'!G10+'Profit &amp; Loss'!G9)*2/(F4+F5+F6+G4+G5+G6),"")</f>
        <v>6.3172696617161697E-2</v>
      </c>
      <c r="H24" s="10">
        <f>IF((G4+G5+G6+H4+H5+H6)&gt;0,('Profit &amp; Loss'!H10+'Profit &amp; Loss'!H9)*2/(G4+G5+G6+H4+H5+H6),"")</f>
        <v>5.8322645375738287E-2</v>
      </c>
      <c r="I24" s="10">
        <f>IF((H4+H5+H6+I4+I5+I6)&gt;0,('Profit &amp; Loss'!I10+'Profit &amp; Loss'!I9)*2/(H4+H5+H6+I4+I5+I6),"")</f>
        <v>6.2443417959921955E-2</v>
      </c>
      <c r="J24" s="10">
        <f>IF((I4+I5+I6+J4+J5+J6)&gt;0,('Profit &amp; Loss'!J10+'Profit &amp; Loss'!J9)*2/(I4+I5+I6+J4+J5+J6),"")</f>
        <v>7.6998022577176431E-2</v>
      </c>
      <c r="K24" s="10">
        <f>IF((J4+J5+J6+K4+K5+K6)&gt;0,('Profit &amp; Loss'!K10+'Profit &amp; Loss'!K9)*2/(J4+J5+J6+K4+K5+K6),"")</f>
        <v>7.5394709465676807E-2</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10" defaultColWidth="8.83203125" defaultRowHeight="15" x14ac:dyDescent="0.2"/>
  <cols>
    <col min="1" max="1" width="26.83203125" bestFit="1" customWidth="1"/>
    <col min="2" max="6" width="13.5" customWidth="1"/>
    <col min="7" max="11" width="13.5" bestFit="1" customWidth="1"/>
  </cols>
  <sheetData>
    <row r="1" spans="1:11" s="2" customFormat="1" x14ac:dyDescent="0.2">
      <c r="A1" s="2" t="str">
        <f>'Balance Sheet'!A1</f>
        <v>HDFC BANK LTD</v>
      </c>
      <c r="E1" t="str">
        <f>UPDATE</f>
        <v/>
      </c>
      <c r="F1"/>
      <c r="J1" s="2" t="s">
        <v>1</v>
      </c>
    </row>
    <row r="3" spans="1:11" s="2" customFormat="1" x14ac:dyDescent="0.2">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2">
      <c r="A4" s="2" t="s">
        <v>32</v>
      </c>
      <c r="B4" s="1">
        <f>'Data Sheet'!B82</f>
        <v>-34435.370000000003</v>
      </c>
      <c r="C4" s="1">
        <f>'Data Sheet'!C82</f>
        <v>17281.59</v>
      </c>
      <c r="D4" s="1">
        <f>'Data Sheet'!D82</f>
        <v>17214.38</v>
      </c>
      <c r="E4" s="1">
        <f>'Data Sheet'!E82</f>
        <v>-62871.54</v>
      </c>
      <c r="F4" s="1">
        <f>'Data Sheet'!F82</f>
        <v>-16869.09</v>
      </c>
      <c r="G4" s="1">
        <f>'Data Sheet'!G82</f>
        <v>42476.45</v>
      </c>
      <c r="H4" s="1">
        <f>'Data Sheet'!H82</f>
        <v>-11959.57</v>
      </c>
      <c r="I4" s="1">
        <f>'Data Sheet'!I82</f>
        <v>20813.7</v>
      </c>
      <c r="J4" s="1">
        <f>'Data Sheet'!J82</f>
        <v>19069.34</v>
      </c>
      <c r="K4" s="1">
        <f>'Data Sheet'!K82</f>
        <v>127241.84</v>
      </c>
    </row>
    <row r="5" spans="1:11" x14ac:dyDescent="0.2">
      <c r="A5" t="s">
        <v>33</v>
      </c>
      <c r="B5" s="6">
        <f>'Data Sheet'!B83</f>
        <v>-837.31</v>
      </c>
      <c r="C5" s="6">
        <f>'Data Sheet'!C83</f>
        <v>-1146.3800000000001</v>
      </c>
      <c r="D5" s="6">
        <f>'Data Sheet'!D83</f>
        <v>-841.6</v>
      </c>
      <c r="E5" s="6">
        <f>'Data Sheet'!E83</f>
        <v>-1503.06</v>
      </c>
      <c r="F5" s="6">
        <f>'Data Sheet'!F83</f>
        <v>-1402.94</v>
      </c>
      <c r="G5" s="6">
        <f>'Data Sheet'!G83</f>
        <v>-1822.7</v>
      </c>
      <c r="H5" s="6">
        <f>'Data Sheet'!H83</f>
        <v>-2051.23</v>
      </c>
      <c r="I5" s="6">
        <f>'Data Sheet'!I83</f>
        <v>-2992.18</v>
      </c>
      <c r="J5" s="6">
        <f>'Data Sheet'!J83</f>
        <v>16600.419999999998</v>
      </c>
      <c r="K5" s="6">
        <f>'Data Sheet'!K83</f>
        <v>-3650.91</v>
      </c>
    </row>
    <row r="6" spans="1:11" x14ac:dyDescent="0.2">
      <c r="A6" t="s">
        <v>34</v>
      </c>
      <c r="B6" s="6">
        <f>'Data Sheet'!B84</f>
        <v>37815.129999999997</v>
      </c>
      <c r="C6" s="6">
        <f>'Data Sheet'!C84</f>
        <v>-5892.97</v>
      </c>
      <c r="D6" s="6">
        <f>'Data Sheet'!D84</f>
        <v>57377.66</v>
      </c>
      <c r="E6" s="6">
        <f>'Data Sheet'!E84</f>
        <v>23130.69</v>
      </c>
      <c r="F6" s="6">
        <f>'Data Sheet'!F84</f>
        <v>24394.5</v>
      </c>
      <c r="G6" s="6">
        <f>'Data Sheet'!G84</f>
        <v>-7321.35</v>
      </c>
      <c r="H6" s="6">
        <f>'Data Sheet'!H84</f>
        <v>48124.02</v>
      </c>
      <c r="I6" s="6">
        <f>'Data Sheet'!I84</f>
        <v>23940.560000000001</v>
      </c>
      <c r="J6" s="6">
        <f>'Data Sheet'!J84</f>
        <v>-3983.06</v>
      </c>
      <c r="K6" s="6">
        <f>'Data Sheet'!K84</f>
        <v>-102477.54</v>
      </c>
    </row>
    <row r="7" spans="1:11" s="2" customFormat="1" x14ac:dyDescent="0.2">
      <c r="A7" s="2" t="s">
        <v>35</v>
      </c>
      <c r="B7" s="1">
        <f>'Data Sheet'!B85</f>
        <v>2542.46</v>
      </c>
      <c r="C7" s="1">
        <f>'Data Sheet'!C85</f>
        <v>10242.24</v>
      </c>
      <c r="D7" s="1">
        <f>'Data Sheet'!D85</f>
        <v>73750.44</v>
      </c>
      <c r="E7" s="1">
        <f>'Data Sheet'!E85</f>
        <v>-41243.910000000003</v>
      </c>
      <c r="F7" s="1">
        <f>'Data Sheet'!F85</f>
        <v>6122.47</v>
      </c>
      <c r="G7" s="1">
        <f>'Data Sheet'!G85</f>
        <v>33332.400000000001</v>
      </c>
      <c r="H7" s="1">
        <f>'Data Sheet'!H85</f>
        <v>34113.22</v>
      </c>
      <c r="I7" s="1">
        <f>'Data Sheet'!I85</f>
        <v>41762.080000000002</v>
      </c>
      <c r="J7" s="1">
        <f>'Data Sheet'!J85</f>
        <v>31686.7</v>
      </c>
      <c r="K7" s="1">
        <f>'Data Sheet'!K85</f>
        <v>21113.39</v>
      </c>
    </row>
    <row r="8" spans="1:11" x14ac:dyDescent="0.2">
      <c r="B8" s="6"/>
      <c r="C8" s="6"/>
      <c r="D8" s="6"/>
      <c r="E8" s="6"/>
      <c r="F8" s="6"/>
      <c r="G8" s="6"/>
      <c r="H8" s="6"/>
      <c r="I8" s="6"/>
      <c r="J8" s="6"/>
      <c r="K8" s="6"/>
    </row>
    <row r="24" customFormat="1" x14ac:dyDescent="0.2"/>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baseColWidth="10" defaultColWidth="8.83203125" defaultRowHeight="15" x14ac:dyDescent="0.2"/>
  <cols>
    <col min="1" max="1" width="8.83203125" style="2"/>
    <col min="2" max="2" width="10.5" customWidth="1"/>
    <col min="3" max="3" width="13.33203125" style="20" customWidth="1"/>
    <col min="6" max="6" width="6.83203125" customWidth="1"/>
  </cols>
  <sheetData>
    <row r="1" spans="1:7" ht="21" x14ac:dyDescent="0.25">
      <c r="A1" s="19" t="s">
        <v>56</v>
      </c>
    </row>
    <row r="3" spans="1:7" x14ac:dyDescent="0.2">
      <c r="A3" s="2" t="s">
        <v>48</v>
      </c>
    </row>
    <row r="4" spans="1:7" x14ac:dyDescent="0.2">
      <c r="B4" t="s">
        <v>90</v>
      </c>
    </row>
    <row r="5" spans="1:7" x14ac:dyDescent="0.2">
      <c r="B5" t="s">
        <v>49</v>
      </c>
    </row>
    <row r="7" spans="1:7" x14ac:dyDescent="0.2">
      <c r="A7" s="2" t="s">
        <v>50</v>
      </c>
    </row>
    <row r="8" spans="1:7" x14ac:dyDescent="0.2">
      <c r="B8" t="s">
        <v>51</v>
      </c>
      <c r="C8" s="21" t="s">
        <v>91</v>
      </c>
    </row>
    <row r="10" spans="1:7" x14ac:dyDescent="0.2">
      <c r="A10" s="2" t="s">
        <v>52</v>
      </c>
    </row>
    <row r="11" spans="1:7" x14ac:dyDescent="0.2">
      <c r="B11" t="s">
        <v>53</v>
      </c>
    </row>
    <row r="14" spans="1:7" x14ac:dyDescent="0.2">
      <c r="A14" s="2" t="s">
        <v>54</v>
      </c>
    </row>
    <row r="15" spans="1:7" x14ac:dyDescent="0.2">
      <c r="B15" t="s">
        <v>55</v>
      </c>
    </row>
    <row r="16" spans="1:7" x14ac:dyDescent="0.2">
      <c r="B16" t="s">
        <v>92</v>
      </c>
      <c r="G16" s="22"/>
    </row>
  </sheetData>
  <hyperlinks>
    <hyperlink ref="C8" r:id="rId1" display=" http://www.screener.in/excel" xr:uid="{00000000-0004-0000-04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16" activePane="bottomRight" state="frozen"/>
      <selection activeCell="C4" sqref="C4"/>
      <selection pane="topRight" activeCell="C4" sqref="C4"/>
      <selection pane="bottomLeft" activeCell="C4" sqref="C4"/>
      <selection pane="bottomRight" activeCell="A51" sqref="A51"/>
    </sheetView>
  </sheetViews>
  <sheetFormatPr baseColWidth="10" defaultColWidth="8.83203125" defaultRowHeight="15" x14ac:dyDescent="0.2"/>
  <cols>
    <col min="1" max="1" width="27.6640625" style="4" bestFit="1" customWidth="1"/>
    <col min="2" max="11" width="13.5" style="4" bestFit="1" customWidth="1"/>
    <col min="12" max="16384" width="8.83203125" style="4"/>
  </cols>
  <sheetData>
    <row r="1" spans="1:11" s="1" customFormat="1" x14ac:dyDescent="0.2">
      <c r="A1" s="1" t="s">
        <v>0</v>
      </c>
      <c r="B1" s="1" t="s">
        <v>63</v>
      </c>
      <c r="E1" s="35" t="str">
        <f>IF(B2&lt;&gt;B3, "A NEW VERSION OF THE WORKSHEET IS AVAILABLE", "")</f>
        <v/>
      </c>
      <c r="F1" s="35"/>
      <c r="G1" s="35"/>
      <c r="H1" s="35"/>
      <c r="I1" s="35"/>
      <c r="J1" s="35"/>
      <c r="K1" s="35"/>
    </row>
    <row r="2" spans="1:11" x14ac:dyDescent="0.2">
      <c r="A2" s="1" t="s">
        <v>61</v>
      </c>
      <c r="B2" s="4">
        <v>2.1</v>
      </c>
      <c r="E2" s="36" t="s">
        <v>36</v>
      </c>
      <c r="F2" s="36"/>
      <c r="G2" s="36"/>
      <c r="H2" s="36"/>
      <c r="I2" s="36"/>
      <c r="J2" s="36"/>
      <c r="K2" s="36"/>
    </row>
    <row r="3" spans="1:11" x14ac:dyDescent="0.2">
      <c r="A3" s="1" t="s">
        <v>62</v>
      </c>
      <c r="B3" s="4">
        <v>2.1</v>
      </c>
    </row>
    <row r="4" spans="1:11" x14ac:dyDescent="0.2">
      <c r="A4" s="1"/>
    </row>
    <row r="5" spans="1:11" x14ac:dyDescent="0.2">
      <c r="A5" s="1" t="s">
        <v>64</v>
      </c>
    </row>
    <row r="6" spans="1:11" x14ac:dyDescent="0.2">
      <c r="A6" s="4" t="s">
        <v>42</v>
      </c>
      <c r="B6" s="4">
        <f>IF(B9&gt;0, B9/B8, 0)</f>
        <v>1538.8109531828898</v>
      </c>
    </row>
    <row r="7" spans="1:11" x14ac:dyDescent="0.2">
      <c r="A7" s="4" t="s">
        <v>31</v>
      </c>
      <c r="B7">
        <v>1</v>
      </c>
    </row>
    <row r="8" spans="1:11" x14ac:dyDescent="0.2">
      <c r="A8" s="4" t="s">
        <v>43</v>
      </c>
      <c r="B8">
        <v>742.25</v>
      </c>
    </row>
    <row r="9" spans="1:11" x14ac:dyDescent="0.2">
      <c r="A9" s="4" t="s">
        <v>79</v>
      </c>
      <c r="B9">
        <v>1142182.43</v>
      </c>
    </row>
    <row r="15" spans="1:11" x14ac:dyDescent="0.2">
      <c r="A15" s="1" t="s">
        <v>37</v>
      </c>
    </row>
    <row r="16" spans="1:11" s="18" customFormat="1" x14ac:dyDescent="0.2">
      <c r="A16" s="17" t="s">
        <v>38</v>
      </c>
      <c r="B16" s="12">
        <v>42460</v>
      </c>
      <c r="C16" s="12">
        <v>42825</v>
      </c>
      <c r="D16" s="12">
        <v>43190</v>
      </c>
      <c r="E16" s="12">
        <v>43555</v>
      </c>
      <c r="F16" s="12">
        <v>43921</v>
      </c>
      <c r="G16" s="12">
        <v>44286</v>
      </c>
      <c r="H16" s="12">
        <v>44651</v>
      </c>
      <c r="I16" s="12">
        <v>45016</v>
      </c>
      <c r="J16" s="12">
        <v>45382</v>
      </c>
      <c r="K16" s="12">
        <v>45747</v>
      </c>
    </row>
    <row r="17" spans="1:11" s="6" customFormat="1" x14ac:dyDescent="0.2">
      <c r="A17" s="6" t="s">
        <v>6</v>
      </c>
      <c r="B17">
        <v>63161.56</v>
      </c>
      <c r="C17">
        <v>73271.350000000006</v>
      </c>
      <c r="D17">
        <v>85287.84</v>
      </c>
      <c r="E17">
        <v>105160.74</v>
      </c>
      <c r="F17">
        <v>122189.29</v>
      </c>
      <c r="G17">
        <v>128552.4</v>
      </c>
      <c r="H17">
        <v>135936.41</v>
      </c>
      <c r="I17">
        <v>170754.05</v>
      </c>
      <c r="J17">
        <v>283649.02</v>
      </c>
      <c r="K17">
        <v>336367.43</v>
      </c>
    </row>
    <row r="18" spans="1:11" s="6" customFormat="1" x14ac:dyDescent="0.2">
      <c r="A18" s="4" t="s">
        <v>80</v>
      </c>
    </row>
    <row r="19" spans="1:11" s="6" customFormat="1" x14ac:dyDescent="0.2">
      <c r="A19" s="4" t="s">
        <v>81</v>
      </c>
    </row>
    <row r="20" spans="1:11" s="6" customFormat="1" x14ac:dyDescent="0.2">
      <c r="A20" s="4" t="s">
        <v>82</v>
      </c>
    </row>
    <row r="21" spans="1:11" s="6" customFormat="1" x14ac:dyDescent="0.2">
      <c r="A21" s="4" t="s">
        <v>83</v>
      </c>
      <c r="B21">
        <v>1041.79</v>
      </c>
      <c r="C21">
        <v>1271.8</v>
      </c>
      <c r="D21">
        <v>1314.97</v>
      </c>
      <c r="E21">
        <v>1283.53</v>
      </c>
      <c r="F21">
        <v>1293.44</v>
      </c>
      <c r="G21">
        <v>1649.11</v>
      </c>
      <c r="H21">
        <v>1772.27</v>
      </c>
      <c r="I21">
        <v>2176.5</v>
      </c>
      <c r="J21">
        <v>3255.75</v>
      </c>
      <c r="K21">
        <v>3943.56</v>
      </c>
    </row>
    <row r="22" spans="1:11" s="6" customFormat="1" x14ac:dyDescent="0.2">
      <c r="A22" s="4" t="s">
        <v>84</v>
      </c>
      <c r="B22">
        <v>6309.03</v>
      </c>
      <c r="C22">
        <v>8508.2199999999993</v>
      </c>
      <c r="D22">
        <v>9197.15</v>
      </c>
      <c r="E22">
        <v>10454.75</v>
      </c>
      <c r="F22">
        <v>12924.1</v>
      </c>
      <c r="G22">
        <v>13682.35</v>
      </c>
      <c r="H22">
        <v>15904.81</v>
      </c>
      <c r="I22">
        <v>20031.36</v>
      </c>
      <c r="J22">
        <v>31050.07</v>
      </c>
      <c r="K22">
        <v>34167.89</v>
      </c>
    </row>
    <row r="23" spans="1:11" s="6" customFormat="1" x14ac:dyDescent="0.2">
      <c r="A23" s="4" t="s">
        <v>85</v>
      </c>
      <c r="B23">
        <v>3043.15</v>
      </c>
      <c r="C23">
        <v>3328.39</v>
      </c>
      <c r="D23">
        <v>3658.43</v>
      </c>
      <c r="E23">
        <v>3900.17</v>
      </c>
      <c r="F23">
        <v>4192.1499999999996</v>
      </c>
      <c r="G23">
        <v>4780.54</v>
      </c>
      <c r="H23">
        <v>5406.79</v>
      </c>
      <c r="I23">
        <v>6580</v>
      </c>
      <c r="J23">
        <v>87580.05</v>
      </c>
      <c r="K23">
        <v>105188.45</v>
      </c>
    </row>
    <row r="24" spans="1:11" s="6" customFormat="1" x14ac:dyDescent="0.2">
      <c r="A24" s="4" t="s">
        <v>86</v>
      </c>
      <c r="B24">
        <v>9660.65</v>
      </c>
      <c r="C24">
        <v>10747.28</v>
      </c>
      <c r="D24">
        <v>15361.71</v>
      </c>
      <c r="E24">
        <v>19217.82</v>
      </c>
      <c r="F24">
        <v>27049.52</v>
      </c>
      <c r="G24">
        <v>32344.53</v>
      </c>
      <c r="H24">
        <v>33473.089999999997</v>
      </c>
      <c r="I24">
        <v>34254.44</v>
      </c>
      <c r="J24">
        <v>52309.67</v>
      </c>
      <c r="K24">
        <v>43674.55</v>
      </c>
    </row>
    <row r="25" spans="1:11" s="6" customFormat="1" x14ac:dyDescent="0.2">
      <c r="A25" s="6" t="s">
        <v>9</v>
      </c>
      <c r="B25">
        <v>11211.65</v>
      </c>
      <c r="C25">
        <v>12905.08</v>
      </c>
      <c r="D25">
        <v>16056.6</v>
      </c>
      <c r="E25">
        <v>18947.05</v>
      </c>
      <c r="F25">
        <v>24878.97</v>
      </c>
      <c r="G25">
        <v>27332.880000000001</v>
      </c>
      <c r="H25">
        <v>31758.99</v>
      </c>
      <c r="I25">
        <v>33912.050000000003</v>
      </c>
      <c r="J25">
        <v>124345.75</v>
      </c>
      <c r="K25">
        <v>134548.5</v>
      </c>
    </row>
    <row r="26" spans="1:11" s="6" customFormat="1" x14ac:dyDescent="0.2">
      <c r="A26" s="6" t="s">
        <v>10</v>
      </c>
      <c r="B26">
        <v>738.03</v>
      </c>
      <c r="C26">
        <v>886.19</v>
      </c>
      <c r="D26">
        <v>966.78</v>
      </c>
      <c r="E26">
        <v>1220.67</v>
      </c>
      <c r="F26">
        <v>1276.77</v>
      </c>
      <c r="G26">
        <v>1385.01</v>
      </c>
      <c r="H26">
        <v>1680.73</v>
      </c>
      <c r="I26">
        <v>2345.4699999999998</v>
      </c>
      <c r="J26">
        <v>3092.08</v>
      </c>
      <c r="K26">
        <v>3805.23</v>
      </c>
    </row>
    <row r="27" spans="1:11" s="6" customFormat="1" x14ac:dyDescent="0.2">
      <c r="A27" s="6" t="s">
        <v>11</v>
      </c>
      <c r="B27">
        <v>34069.57</v>
      </c>
      <c r="C27">
        <v>38041.58</v>
      </c>
      <c r="D27">
        <v>42381.48</v>
      </c>
      <c r="E27">
        <v>53712.69</v>
      </c>
      <c r="F27">
        <v>62137.42</v>
      </c>
      <c r="G27">
        <v>59247.59</v>
      </c>
      <c r="H27">
        <v>58584.33</v>
      </c>
      <c r="I27">
        <v>77779.94</v>
      </c>
      <c r="J27">
        <v>154138.54999999999</v>
      </c>
      <c r="K27">
        <v>183894.2</v>
      </c>
    </row>
    <row r="28" spans="1:11" s="6" customFormat="1" x14ac:dyDescent="0.2">
      <c r="A28" s="6" t="s">
        <v>12</v>
      </c>
      <c r="B28">
        <v>19510.990000000002</v>
      </c>
      <c r="C28">
        <v>23392.97</v>
      </c>
      <c r="D28">
        <v>28463.919999999998</v>
      </c>
      <c r="E28">
        <v>34318.160000000003</v>
      </c>
      <c r="F28">
        <v>38194.86</v>
      </c>
      <c r="G28">
        <v>42796.15</v>
      </c>
      <c r="H28">
        <v>50873.38</v>
      </c>
      <c r="I28">
        <v>61498.39</v>
      </c>
      <c r="J28">
        <v>76568.600000000006</v>
      </c>
      <c r="K28">
        <v>96242.05</v>
      </c>
    </row>
    <row r="29" spans="1:11" s="6" customFormat="1" x14ac:dyDescent="0.2">
      <c r="A29" s="6" t="s">
        <v>13</v>
      </c>
      <c r="B29">
        <v>6693.66</v>
      </c>
      <c r="C29">
        <v>8078.12</v>
      </c>
      <c r="D29">
        <v>9903.08</v>
      </c>
      <c r="E29">
        <v>11872.55</v>
      </c>
      <c r="F29">
        <v>10898.59</v>
      </c>
      <c r="G29">
        <v>10939.38</v>
      </c>
      <c r="H29">
        <v>12722.48</v>
      </c>
      <c r="I29">
        <v>15349.69</v>
      </c>
      <c r="J29">
        <v>11122.1</v>
      </c>
      <c r="K29">
        <v>22801.88</v>
      </c>
    </row>
    <row r="30" spans="1:11" s="6" customFormat="1" x14ac:dyDescent="0.2">
      <c r="A30" s="6" t="s">
        <v>14</v>
      </c>
      <c r="B30">
        <v>12801.33</v>
      </c>
      <c r="C30">
        <v>15280.48</v>
      </c>
      <c r="D30">
        <v>18510.02</v>
      </c>
      <c r="E30">
        <v>22332.43</v>
      </c>
      <c r="F30">
        <v>27253.95</v>
      </c>
      <c r="G30">
        <v>31833.21</v>
      </c>
      <c r="H30">
        <v>38052.75</v>
      </c>
      <c r="I30">
        <v>45997.11</v>
      </c>
      <c r="J30">
        <v>64062.04</v>
      </c>
      <c r="K30">
        <v>70792.25</v>
      </c>
    </row>
    <row r="31" spans="1:11" s="6" customFormat="1" x14ac:dyDescent="0.2">
      <c r="A31" s="6" t="s">
        <v>70</v>
      </c>
      <c r="B31">
        <v>2401.79</v>
      </c>
      <c r="C31">
        <v>2818.8</v>
      </c>
      <c r="D31">
        <v>3373.63</v>
      </c>
      <c r="E31">
        <v>4084.95</v>
      </c>
      <c r="F31">
        <v>1370.82</v>
      </c>
      <c r="G31">
        <v>3583.32</v>
      </c>
      <c r="H31">
        <v>8595.52</v>
      </c>
      <c r="I31">
        <v>10601.43</v>
      </c>
      <c r="J31">
        <v>14813.96</v>
      </c>
      <c r="K31">
        <v>16834.84</v>
      </c>
    </row>
    <row r="32" spans="1:11" s="6" customFormat="1" x14ac:dyDescent="0.2"/>
    <row r="33" spans="1:11" x14ac:dyDescent="0.2">
      <c r="A33" s="6"/>
    </row>
    <row r="34" spans="1:11" x14ac:dyDescent="0.2">
      <c r="A34" s="6"/>
    </row>
    <row r="35" spans="1:11" x14ac:dyDescent="0.2">
      <c r="A35" s="6"/>
    </row>
    <row r="36" spans="1:11" x14ac:dyDescent="0.2">
      <c r="A36" s="6"/>
    </row>
    <row r="37" spans="1:11" x14ac:dyDescent="0.2">
      <c r="A37" s="6"/>
    </row>
    <row r="38" spans="1:11" x14ac:dyDescent="0.2">
      <c r="A38" s="6"/>
    </row>
    <row r="39" spans="1:11" x14ac:dyDescent="0.2">
      <c r="A39" s="6"/>
    </row>
    <row r="40" spans="1:11" x14ac:dyDescent="0.2">
      <c r="A40" s="1" t="s">
        <v>39</v>
      </c>
    </row>
    <row r="41" spans="1:11" s="18" customFormat="1" x14ac:dyDescent="0.2">
      <c r="A41" s="17" t="s">
        <v>38</v>
      </c>
      <c r="B41" s="12">
        <v>45199</v>
      </c>
      <c r="C41" s="12">
        <v>45291</v>
      </c>
      <c r="D41" s="12">
        <v>45382</v>
      </c>
      <c r="E41" s="12">
        <v>45473</v>
      </c>
      <c r="F41" s="12">
        <v>45565</v>
      </c>
      <c r="G41" s="12">
        <v>45657</v>
      </c>
      <c r="H41" s="12">
        <v>45747</v>
      </c>
      <c r="I41" s="12">
        <v>45838</v>
      </c>
      <c r="J41" s="12">
        <v>45930</v>
      </c>
      <c r="K41" s="12">
        <v>46022</v>
      </c>
    </row>
    <row r="42" spans="1:11" s="6" customFormat="1" x14ac:dyDescent="0.2">
      <c r="A42" s="6" t="s">
        <v>6</v>
      </c>
      <c r="B42">
        <v>75039.100000000006</v>
      </c>
      <c r="C42">
        <v>78008.17</v>
      </c>
      <c r="D42">
        <v>79433.61</v>
      </c>
      <c r="E42">
        <v>81546.2</v>
      </c>
      <c r="F42">
        <v>83001.72</v>
      </c>
      <c r="G42">
        <v>85040.17</v>
      </c>
      <c r="H42">
        <v>86779.34</v>
      </c>
      <c r="I42">
        <v>87371.87</v>
      </c>
      <c r="J42">
        <v>86993.84</v>
      </c>
      <c r="K42">
        <v>87066.94</v>
      </c>
    </row>
    <row r="43" spans="1:11" s="6" customFormat="1" x14ac:dyDescent="0.2">
      <c r="A43" s="6" t="s">
        <v>7</v>
      </c>
      <c r="B43">
        <v>45349.33</v>
      </c>
      <c r="C43">
        <v>50530.03</v>
      </c>
      <c r="D43">
        <v>62938.45</v>
      </c>
      <c r="E43">
        <v>49689.62</v>
      </c>
      <c r="F43">
        <v>52074.11</v>
      </c>
      <c r="G43">
        <v>41306.79</v>
      </c>
      <c r="H43">
        <v>47709.16</v>
      </c>
      <c r="I43">
        <v>64496.63</v>
      </c>
      <c r="J43">
        <v>45160.88</v>
      </c>
      <c r="K43">
        <v>54144.75</v>
      </c>
    </row>
    <row r="44" spans="1:11" s="6" customFormat="1" x14ac:dyDescent="0.2">
      <c r="A44" s="6" t="s">
        <v>9</v>
      </c>
      <c r="B44">
        <v>32527.52</v>
      </c>
      <c r="C44">
        <v>37007.339999999997</v>
      </c>
      <c r="D44">
        <v>44957.74</v>
      </c>
      <c r="E44">
        <v>35450.29</v>
      </c>
      <c r="F44">
        <v>38455.019999999997</v>
      </c>
      <c r="G44">
        <v>27153.77</v>
      </c>
      <c r="H44">
        <v>33489.42</v>
      </c>
      <c r="I44">
        <v>45683.1</v>
      </c>
      <c r="J44">
        <v>31566.79</v>
      </c>
      <c r="K44">
        <v>39860.33</v>
      </c>
    </row>
    <row r="45" spans="1:11" s="6" customFormat="1" x14ac:dyDescent="0.2">
      <c r="A45" s="6" t="s">
        <v>10</v>
      </c>
    </row>
    <row r="46" spans="1:11" s="6" customFormat="1" x14ac:dyDescent="0.2">
      <c r="A46" s="6" t="s">
        <v>11</v>
      </c>
      <c r="B46">
        <v>41249.910000000003</v>
      </c>
      <c r="C46">
        <v>43242.37</v>
      </c>
      <c r="D46">
        <v>43691.51</v>
      </c>
      <c r="E46">
        <v>44579.5</v>
      </c>
      <c r="F46">
        <v>45414.21</v>
      </c>
      <c r="G46">
        <v>46914.28</v>
      </c>
      <c r="H46">
        <v>46986.21</v>
      </c>
      <c r="I46">
        <v>47708.51</v>
      </c>
      <c r="J46">
        <v>46740.86</v>
      </c>
      <c r="K46">
        <v>45821.42</v>
      </c>
    </row>
    <row r="47" spans="1:11" s="6" customFormat="1" x14ac:dyDescent="0.2">
      <c r="A47" s="6" t="s">
        <v>12</v>
      </c>
      <c r="B47">
        <v>20967.38</v>
      </c>
      <c r="C47">
        <v>21243.11</v>
      </c>
      <c r="D47">
        <v>17761.39</v>
      </c>
      <c r="E47">
        <v>22727.37</v>
      </c>
      <c r="F47">
        <v>23968.42</v>
      </c>
      <c r="G47">
        <v>23972.87</v>
      </c>
      <c r="H47">
        <v>25573.39</v>
      </c>
      <c r="I47">
        <v>20849.830000000002</v>
      </c>
      <c r="J47">
        <v>26658.89</v>
      </c>
      <c r="K47">
        <v>26961.1</v>
      </c>
    </row>
    <row r="48" spans="1:11" s="6" customFormat="1" x14ac:dyDescent="0.2">
      <c r="A48" s="6" t="s">
        <v>13</v>
      </c>
      <c r="B48">
        <v>3655</v>
      </c>
      <c r="C48">
        <v>3525.11</v>
      </c>
      <c r="D48">
        <v>-251.48</v>
      </c>
      <c r="E48">
        <v>5539.32</v>
      </c>
      <c r="F48">
        <v>5340.98</v>
      </c>
      <c r="G48">
        <v>5632.76</v>
      </c>
      <c r="H48">
        <v>6288.82</v>
      </c>
      <c r="I48">
        <v>3759.4</v>
      </c>
      <c r="J48">
        <v>6295.12</v>
      </c>
      <c r="K48">
        <v>6270.06</v>
      </c>
    </row>
    <row r="49" spans="1:11" s="6" customFormat="1" x14ac:dyDescent="0.2">
      <c r="A49" s="6" t="s">
        <v>14</v>
      </c>
      <c r="B49">
        <v>16811.41</v>
      </c>
      <c r="C49">
        <v>17257.87</v>
      </c>
      <c r="D49">
        <v>17622.38</v>
      </c>
      <c r="E49">
        <v>16474.849999999999</v>
      </c>
      <c r="F49">
        <v>17825.91</v>
      </c>
      <c r="G49">
        <v>17656.61</v>
      </c>
      <c r="H49">
        <v>18834.88</v>
      </c>
      <c r="I49">
        <v>16257.91</v>
      </c>
      <c r="J49">
        <v>19610.669999999998</v>
      </c>
      <c r="K49">
        <v>19806.63</v>
      </c>
    </row>
    <row r="50" spans="1:11" x14ac:dyDescent="0.2">
      <c r="A50" s="6" t="s">
        <v>8</v>
      </c>
      <c r="B50">
        <v>29689.77</v>
      </c>
      <c r="C50">
        <v>27478.14</v>
      </c>
      <c r="D50">
        <v>16495.16</v>
      </c>
      <c r="E50">
        <v>31856.58</v>
      </c>
      <c r="F50">
        <v>30927.61</v>
      </c>
      <c r="G50">
        <v>43733.38</v>
      </c>
      <c r="H50">
        <v>39070.18</v>
      </c>
      <c r="I50">
        <v>22875.24</v>
      </c>
      <c r="J50">
        <v>41832.959999999999</v>
      </c>
      <c r="K50">
        <v>32922.19</v>
      </c>
    </row>
    <row r="51" spans="1:11" x14ac:dyDescent="0.2">
      <c r="A51" s="6"/>
    </row>
    <row r="52" spans="1:11" x14ac:dyDescent="0.2">
      <c r="A52" s="6"/>
    </row>
    <row r="53" spans="1:11" x14ac:dyDescent="0.2">
      <c r="A53" s="6"/>
    </row>
    <row r="54" spans="1:11" x14ac:dyDescent="0.2">
      <c r="A54" s="6"/>
    </row>
    <row r="55" spans="1:11" x14ac:dyDescent="0.2">
      <c r="A55" s="1" t="s">
        <v>40</v>
      </c>
    </row>
    <row r="56" spans="1:11" s="18" customFormat="1" x14ac:dyDescent="0.2">
      <c r="A56" s="17" t="s">
        <v>38</v>
      </c>
      <c r="B56" s="12">
        <v>42460</v>
      </c>
      <c r="C56" s="12">
        <v>42825</v>
      </c>
      <c r="D56" s="12">
        <v>43190</v>
      </c>
      <c r="E56" s="12">
        <v>43555</v>
      </c>
      <c r="F56" s="12">
        <v>43921</v>
      </c>
      <c r="G56" s="12">
        <v>44286</v>
      </c>
      <c r="H56" s="12">
        <v>44651</v>
      </c>
      <c r="I56" s="12">
        <v>45016</v>
      </c>
      <c r="J56" s="12">
        <v>45382</v>
      </c>
      <c r="K56" s="12">
        <v>45747</v>
      </c>
    </row>
    <row r="57" spans="1:11" x14ac:dyDescent="0.2">
      <c r="A57" s="6" t="s">
        <v>24</v>
      </c>
      <c r="B57">
        <v>505.64</v>
      </c>
      <c r="C57">
        <v>512.51</v>
      </c>
      <c r="D57">
        <v>519.02</v>
      </c>
      <c r="E57">
        <v>544.66</v>
      </c>
      <c r="F57">
        <v>548.33000000000004</v>
      </c>
      <c r="G57">
        <v>551.28</v>
      </c>
      <c r="H57">
        <v>554.54999999999995</v>
      </c>
      <c r="I57">
        <v>557.97</v>
      </c>
      <c r="J57">
        <v>759.69</v>
      </c>
      <c r="K57">
        <v>765.22</v>
      </c>
    </row>
    <row r="58" spans="1:11" x14ac:dyDescent="0.2">
      <c r="A58" s="6" t="s">
        <v>25</v>
      </c>
      <c r="B58">
        <v>73798.490000000005</v>
      </c>
      <c r="C58">
        <v>91281.44</v>
      </c>
      <c r="D58">
        <v>109080.11</v>
      </c>
      <c r="E58">
        <v>153128</v>
      </c>
      <c r="F58">
        <v>175810.38</v>
      </c>
      <c r="G58">
        <v>209258.9</v>
      </c>
      <c r="H58">
        <v>246771.62</v>
      </c>
      <c r="I58">
        <v>288879.53000000003</v>
      </c>
      <c r="J58">
        <v>455635.56</v>
      </c>
      <c r="K58">
        <v>521024.17</v>
      </c>
    </row>
    <row r="59" spans="1:11" x14ac:dyDescent="0.2">
      <c r="A59" s="6" t="s">
        <v>71</v>
      </c>
      <c r="B59">
        <v>649587.25</v>
      </c>
      <c r="C59">
        <v>741549.89</v>
      </c>
      <c r="D59">
        <v>944817.22</v>
      </c>
      <c r="E59">
        <v>1080235.46</v>
      </c>
      <c r="F59">
        <v>1333041.45</v>
      </c>
      <c r="G59">
        <v>1511417.62</v>
      </c>
      <c r="H59">
        <v>1784969.53</v>
      </c>
      <c r="I59">
        <v>2139211.91</v>
      </c>
      <c r="J59">
        <v>3107502.74</v>
      </c>
      <c r="K59">
        <v>3345503.8</v>
      </c>
    </row>
    <row r="60" spans="1:11" x14ac:dyDescent="0.2">
      <c r="A60" s="6" t="s">
        <v>72</v>
      </c>
      <c r="B60">
        <v>38320.949999999997</v>
      </c>
      <c r="C60">
        <v>59000.32</v>
      </c>
      <c r="D60">
        <v>48769.82</v>
      </c>
      <c r="E60">
        <v>58897.59</v>
      </c>
      <c r="F60">
        <v>71430.27</v>
      </c>
      <c r="G60">
        <v>78278.83</v>
      </c>
      <c r="H60">
        <v>90638.6</v>
      </c>
      <c r="I60">
        <v>101783.03</v>
      </c>
      <c r="J60">
        <v>466296.27</v>
      </c>
      <c r="K60">
        <v>524816.64000000001</v>
      </c>
    </row>
    <row r="61" spans="1:11" s="1" customFormat="1" x14ac:dyDescent="0.2">
      <c r="A61" s="1" t="s">
        <v>26</v>
      </c>
      <c r="B61">
        <v>762212.33</v>
      </c>
      <c r="C61">
        <v>892344.16</v>
      </c>
      <c r="D61">
        <v>1103186.17</v>
      </c>
      <c r="E61">
        <v>1292805.71</v>
      </c>
      <c r="F61">
        <v>1580830.43</v>
      </c>
      <c r="G61">
        <v>1799506.63</v>
      </c>
      <c r="H61">
        <v>2122934.2999999998</v>
      </c>
      <c r="I61">
        <v>2530432.44</v>
      </c>
      <c r="J61">
        <v>4030194.26</v>
      </c>
      <c r="K61">
        <v>4392109.83</v>
      </c>
    </row>
    <row r="62" spans="1:11" x14ac:dyDescent="0.2">
      <c r="A62" s="6" t="s">
        <v>27</v>
      </c>
      <c r="B62">
        <v>3666.86</v>
      </c>
      <c r="C62">
        <v>3999.7</v>
      </c>
      <c r="D62">
        <v>4008.13</v>
      </c>
      <c r="E62">
        <v>4368.63</v>
      </c>
      <c r="F62">
        <v>4775.6499999999996</v>
      </c>
      <c r="G62">
        <v>5248.35</v>
      </c>
      <c r="H62">
        <v>6432.07</v>
      </c>
      <c r="I62">
        <v>8431.35</v>
      </c>
      <c r="J62">
        <v>12603.76</v>
      </c>
      <c r="K62">
        <v>15257.94</v>
      </c>
    </row>
    <row r="63" spans="1:11" x14ac:dyDescent="0.2">
      <c r="A63" s="6" t="s">
        <v>28</v>
      </c>
    </row>
    <row r="64" spans="1:11" x14ac:dyDescent="0.2">
      <c r="A64" s="6" t="s">
        <v>29</v>
      </c>
      <c r="B64">
        <v>193633.85</v>
      </c>
      <c r="C64">
        <v>210777.11</v>
      </c>
      <c r="D64">
        <v>238460.92</v>
      </c>
      <c r="E64">
        <v>289445.87</v>
      </c>
      <c r="F64">
        <v>389304.95</v>
      </c>
      <c r="G64">
        <v>438823.11</v>
      </c>
      <c r="H64">
        <v>449263.86</v>
      </c>
      <c r="I64">
        <v>511581.71</v>
      </c>
      <c r="J64">
        <v>1005681.63</v>
      </c>
      <c r="K64">
        <v>1186472.8899999999</v>
      </c>
    </row>
    <row r="65" spans="1:11" x14ac:dyDescent="0.2">
      <c r="A65" s="6" t="s">
        <v>73</v>
      </c>
      <c r="B65">
        <v>564911.62</v>
      </c>
      <c r="C65">
        <v>677567.35</v>
      </c>
      <c r="D65">
        <v>860717.12</v>
      </c>
      <c r="E65">
        <v>998991.21</v>
      </c>
      <c r="F65">
        <v>1186749.83</v>
      </c>
      <c r="G65">
        <v>1355435.17</v>
      </c>
      <c r="H65">
        <v>1667238.37</v>
      </c>
      <c r="I65">
        <v>2010419.38</v>
      </c>
      <c r="J65">
        <v>3011908.87</v>
      </c>
      <c r="K65">
        <v>3190379</v>
      </c>
    </row>
    <row r="66" spans="1:11" s="1" customFormat="1" x14ac:dyDescent="0.2">
      <c r="A66" s="1" t="s">
        <v>26</v>
      </c>
      <c r="B66">
        <v>762212.33</v>
      </c>
      <c r="C66">
        <v>892344.16</v>
      </c>
      <c r="D66">
        <v>1103186.17</v>
      </c>
      <c r="E66">
        <v>1292805.71</v>
      </c>
      <c r="F66">
        <v>1580830.43</v>
      </c>
      <c r="G66">
        <v>1799506.63</v>
      </c>
      <c r="H66">
        <v>2122934.2999999998</v>
      </c>
      <c r="I66">
        <v>2530432.44</v>
      </c>
      <c r="J66">
        <v>4030194.26</v>
      </c>
      <c r="K66">
        <v>4392109.83</v>
      </c>
    </row>
    <row r="67" spans="1:11" s="6" customFormat="1" x14ac:dyDescent="0.2">
      <c r="A67" s="6" t="s">
        <v>78</v>
      </c>
    </row>
    <row r="68" spans="1:11" x14ac:dyDescent="0.2">
      <c r="A68" s="6" t="s">
        <v>45</v>
      </c>
    </row>
    <row r="69" spans="1:11" x14ac:dyDescent="0.2">
      <c r="A69" s="4" t="s">
        <v>87</v>
      </c>
      <c r="B69">
        <v>24488.85</v>
      </c>
      <c r="C69">
        <v>33633.279999999999</v>
      </c>
      <c r="D69">
        <v>97138.14</v>
      </c>
      <c r="E69">
        <v>39372.129999999997</v>
      </c>
      <c r="F69">
        <v>62997.42</v>
      </c>
      <c r="G69">
        <v>86648.17</v>
      </c>
      <c r="H69">
        <v>118791.2</v>
      </c>
      <c r="I69">
        <v>103917.93</v>
      </c>
      <c r="J69">
        <v>165658.59</v>
      </c>
      <c r="K69">
        <v>132227.37</v>
      </c>
    </row>
    <row r="70" spans="1:11" x14ac:dyDescent="0.2">
      <c r="A70" s="4" t="s">
        <v>74</v>
      </c>
      <c r="B70">
        <v>2528186517</v>
      </c>
      <c r="C70">
        <v>2562545717</v>
      </c>
      <c r="D70">
        <v>2595090267</v>
      </c>
      <c r="E70">
        <v>2723306610</v>
      </c>
      <c r="F70">
        <v>5483286460</v>
      </c>
      <c r="G70">
        <v>5512776482</v>
      </c>
      <c r="H70">
        <v>5545540976</v>
      </c>
      <c r="I70">
        <v>5579742786</v>
      </c>
      <c r="J70">
        <v>7596910662</v>
      </c>
      <c r="K70">
        <v>7652221674</v>
      </c>
    </row>
    <row r="71" spans="1:11" x14ac:dyDescent="0.2">
      <c r="A71" s="4" t="s">
        <v>75</v>
      </c>
    </row>
    <row r="72" spans="1:11" x14ac:dyDescent="0.2">
      <c r="A72" s="4" t="s">
        <v>88</v>
      </c>
      <c r="B72">
        <v>2</v>
      </c>
      <c r="C72">
        <v>2</v>
      </c>
      <c r="D72">
        <v>2</v>
      </c>
      <c r="E72">
        <v>2</v>
      </c>
      <c r="F72">
        <v>1</v>
      </c>
      <c r="G72">
        <v>1</v>
      </c>
      <c r="H72">
        <v>1</v>
      </c>
      <c r="I72">
        <v>1</v>
      </c>
      <c r="J72">
        <v>1</v>
      </c>
      <c r="K72">
        <v>1</v>
      </c>
    </row>
    <row r="74" spans="1:11" x14ac:dyDescent="0.2">
      <c r="A74" s="6"/>
    </row>
    <row r="75" spans="1:11" x14ac:dyDescent="0.2">
      <c r="A75" s="6"/>
    </row>
    <row r="76" spans="1:11" x14ac:dyDescent="0.2">
      <c r="A76" s="6"/>
    </row>
    <row r="77" spans="1:11" x14ac:dyDescent="0.2">
      <c r="A77" s="6"/>
    </row>
    <row r="78" spans="1:11" x14ac:dyDescent="0.2">
      <c r="A78" s="6"/>
    </row>
    <row r="79" spans="1:11" x14ac:dyDescent="0.2">
      <c r="A79" s="6"/>
    </row>
    <row r="80" spans="1:11" x14ac:dyDescent="0.2">
      <c r="A80" s="1" t="s">
        <v>41</v>
      </c>
    </row>
    <row r="81" spans="1:11" s="18" customFormat="1" x14ac:dyDescent="0.2">
      <c r="A81" s="17" t="s">
        <v>38</v>
      </c>
      <c r="B81" s="12">
        <v>42460</v>
      </c>
      <c r="C81" s="12">
        <v>42825</v>
      </c>
      <c r="D81" s="12">
        <v>43190</v>
      </c>
      <c r="E81" s="12">
        <v>43555</v>
      </c>
      <c r="F81" s="12">
        <v>43921</v>
      </c>
      <c r="G81" s="12">
        <v>44286</v>
      </c>
      <c r="H81" s="12">
        <v>44651</v>
      </c>
      <c r="I81" s="12">
        <v>45016</v>
      </c>
      <c r="J81" s="12">
        <v>45382</v>
      </c>
      <c r="K81" s="12">
        <v>45747</v>
      </c>
    </row>
    <row r="82" spans="1:11" s="1" customFormat="1" x14ac:dyDescent="0.2">
      <c r="A82" s="6" t="s">
        <v>32</v>
      </c>
      <c r="B82">
        <v>-34435.370000000003</v>
      </c>
      <c r="C82">
        <v>17281.59</v>
      </c>
      <c r="D82">
        <v>17214.38</v>
      </c>
      <c r="E82">
        <v>-62871.54</v>
      </c>
      <c r="F82">
        <v>-16869.09</v>
      </c>
      <c r="G82">
        <v>42476.45</v>
      </c>
      <c r="H82">
        <v>-11959.57</v>
      </c>
      <c r="I82">
        <v>20813.7</v>
      </c>
      <c r="J82">
        <v>19069.34</v>
      </c>
      <c r="K82">
        <v>127241.84</v>
      </c>
    </row>
    <row r="83" spans="1:11" s="6" customFormat="1" x14ac:dyDescent="0.2">
      <c r="A83" s="6" t="s">
        <v>33</v>
      </c>
      <c r="B83">
        <v>-837.31</v>
      </c>
      <c r="C83">
        <v>-1146.3800000000001</v>
      </c>
      <c r="D83">
        <v>-841.6</v>
      </c>
      <c r="E83">
        <v>-1503.06</v>
      </c>
      <c r="F83">
        <v>-1402.94</v>
      </c>
      <c r="G83">
        <v>-1822.7</v>
      </c>
      <c r="H83">
        <v>-2051.23</v>
      </c>
      <c r="I83">
        <v>-2992.18</v>
      </c>
      <c r="J83">
        <v>16600.419999999998</v>
      </c>
      <c r="K83">
        <v>-3650.91</v>
      </c>
    </row>
    <row r="84" spans="1:11" s="6" customFormat="1" x14ac:dyDescent="0.2">
      <c r="A84" s="6" t="s">
        <v>34</v>
      </c>
      <c r="B84">
        <v>37815.129999999997</v>
      </c>
      <c r="C84">
        <v>-5892.97</v>
      </c>
      <c r="D84">
        <v>57377.66</v>
      </c>
      <c r="E84">
        <v>23130.69</v>
      </c>
      <c r="F84">
        <v>24394.5</v>
      </c>
      <c r="G84">
        <v>-7321.35</v>
      </c>
      <c r="H84">
        <v>48124.02</v>
      </c>
      <c r="I84">
        <v>23940.560000000001</v>
      </c>
      <c r="J84">
        <v>-3983.06</v>
      </c>
      <c r="K84">
        <v>-102477.54</v>
      </c>
    </row>
    <row r="85" spans="1:11" s="1" customFormat="1" x14ac:dyDescent="0.2">
      <c r="A85" s="6" t="s">
        <v>35</v>
      </c>
      <c r="B85">
        <v>2542.46</v>
      </c>
      <c r="C85">
        <v>10242.24</v>
      </c>
      <c r="D85">
        <v>73750.44</v>
      </c>
      <c r="E85">
        <v>-41243.910000000003</v>
      </c>
      <c r="F85">
        <v>6122.47</v>
      </c>
      <c r="G85">
        <v>33332.400000000001</v>
      </c>
      <c r="H85">
        <v>34113.22</v>
      </c>
      <c r="I85">
        <v>41762.080000000002</v>
      </c>
      <c r="J85">
        <v>31686.7</v>
      </c>
      <c r="K85">
        <v>21113.39</v>
      </c>
    </row>
    <row r="86" spans="1:11" x14ac:dyDescent="0.2">
      <c r="A86" s="6"/>
    </row>
    <row r="87" spans="1:11" x14ac:dyDescent="0.2">
      <c r="A87" s="6"/>
    </row>
    <row r="88" spans="1:11" x14ac:dyDescent="0.2">
      <c r="A88" s="6"/>
    </row>
    <row r="89" spans="1:11" x14ac:dyDescent="0.2">
      <c r="A89" s="6"/>
    </row>
    <row r="90" spans="1:11" s="1" customFormat="1" x14ac:dyDescent="0.2">
      <c r="A90" s="1" t="s">
        <v>77</v>
      </c>
      <c r="B90">
        <v>267.79000000000002</v>
      </c>
      <c r="C90">
        <v>360.64</v>
      </c>
      <c r="D90">
        <v>471.53</v>
      </c>
      <c r="E90">
        <v>579.73</v>
      </c>
      <c r="F90">
        <v>430.95</v>
      </c>
      <c r="G90">
        <v>746.83</v>
      </c>
      <c r="H90">
        <v>735.18</v>
      </c>
      <c r="I90">
        <v>804.78</v>
      </c>
      <c r="J90">
        <v>723.95</v>
      </c>
      <c r="K90">
        <v>914.1</v>
      </c>
    </row>
    <row r="92" spans="1:11" s="1" customFormat="1" x14ac:dyDescent="0.2">
      <c r="A92" s="1" t="s">
        <v>76</v>
      </c>
    </row>
    <row r="93" spans="1:11" x14ac:dyDescent="0.2">
      <c r="A93" s="4" t="s">
        <v>89</v>
      </c>
      <c r="B93" s="24">
        <v>1011.28</v>
      </c>
      <c r="C93" s="24">
        <v>1025.02</v>
      </c>
      <c r="D93" s="24">
        <v>1038.04</v>
      </c>
      <c r="E93" s="24">
        <v>1089.32</v>
      </c>
      <c r="F93" s="24">
        <v>1096.6600000000001</v>
      </c>
      <c r="G93" s="24">
        <v>1102.56</v>
      </c>
      <c r="H93" s="24">
        <v>1109.1099999999999</v>
      </c>
      <c r="I93" s="24">
        <v>1115.95</v>
      </c>
      <c r="J93" s="24">
        <v>1519.38</v>
      </c>
      <c r="K93" s="24">
        <v>1530.44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Profit &amp; Loss</vt:lpstr>
      <vt:lpstr>KPIs</vt:lpstr>
      <vt:lpstr>Dashboard</vt:lpstr>
      <vt:lpstr>DCF</vt:lpstr>
      <vt:lpstr>Quarters</vt:lpstr>
      <vt:lpstr>Balance Sheet</vt:lpstr>
      <vt:lpstr>Cash Flow</vt:lpstr>
      <vt:lpstr>Customization</vt:lpstr>
      <vt:lpstr>Data Sheet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Saloni Mathur</cp:lastModifiedBy>
  <cp:lastPrinted>2012-12-06T18:14:13Z</cp:lastPrinted>
  <dcterms:created xsi:type="dcterms:W3CDTF">2012-08-17T09:55:37Z</dcterms:created>
  <dcterms:modified xsi:type="dcterms:W3CDTF">2026-04-02T04:58:24Z</dcterms:modified>
</cp:coreProperties>
</file>